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auricio\Desktop\NUEVO\DashboardMedico\"/>
    </mc:Choice>
  </mc:AlternateContent>
  <xr:revisionPtr revIDLastSave="0" documentId="13_ncr:1_{B5EC757A-BE7F-4268-8104-A13141ABD1C9}" xr6:coauthVersionLast="47" xr6:coauthVersionMax="47" xr10:uidLastSave="{00000000-0000-0000-0000-000000000000}"/>
  <bookViews>
    <workbookView xWindow="-120" yWindow="-120" windowWidth="20730" windowHeight="11040" xr2:uid="{1407A859-4935-4127-A91B-F2429559B5A8}"/>
  </bookViews>
  <sheets>
    <sheet name="base" sheetId="1" r:id="rId1"/>
    <sheet name="Hoja1" sheetId="13" state="hidden" r:id="rId2"/>
    <sheet name="Dashboard" sheetId="12" r:id="rId3"/>
  </sheets>
  <definedNames>
    <definedName name="SegmentaciónDeDatos_mes">#N/A</definedName>
    <definedName name="SegmentaciónDeDatos_NOMBRE_DEL_MEDICO">#N/A</definedName>
  </definedNames>
  <calcPr calcId="181029"/>
  <pivotCaches>
    <pivotCache cacheId="1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I79" i="1"/>
  <c r="H79" i="1"/>
  <c r="F79" i="1"/>
  <c r="I78" i="1"/>
  <c r="H78" i="1"/>
  <c r="F78" i="1"/>
  <c r="I77" i="1"/>
  <c r="H77" i="1"/>
  <c r="F77" i="1"/>
  <c r="I76" i="1"/>
  <c r="H76" i="1"/>
  <c r="F76" i="1"/>
  <c r="I75" i="1"/>
  <c r="H75" i="1"/>
  <c r="F75" i="1"/>
  <c r="I74" i="1"/>
  <c r="H74" i="1"/>
  <c r="F74" i="1"/>
  <c r="I73" i="1"/>
  <c r="H73" i="1"/>
  <c r="F73" i="1"/>
  <c r="I72" i="1"/>
  <c r="H72" i="1"/>
  <c r="F72" i="1"/>
  <c r="I71" i="1"/>
  <c r="H71" i="1"/>
  <c r="F71" i="1"/>
  <c r="I70" i="1"/>
  <c r="H70" i="1"/>
  <c r="F70" i="1"/>
  <c r="I69" i="1"/>
  <c r="H69" i="1"/>
  <c r="F69" i="1"/>
  <c r="I68" i="1"/>
  <c r="H68" i="1"/>
  <c r="F68" i="1"/>
  <c r="I67" i="1"/>
  <c r="H67" i="1"/>
  <c r="F67" i="1"/>
  <c r="I66" i="1"/>
  <c r="H66" i="1"/>
  <c r="F66" i="1"/>
  <c r="I65" i="1"/>
  <c r="H65" i="1"/>
  <c r="F65" i="1"/>
  <c r="I64" i="1"/>
  <c r="H64" i="1"/>
  <c r="F64" i="1"/>
  <c r="I63" i="1"/>
  <c r="H63" i="1"/>
  <c r="F63" i="1"/>
  <c r="I62" i="1"/>
  <c r="H62" i="1"/>
  <c r="F62" i="1"/>
  <c r="I61" i="1"/>
  <c r="H61" i="1"/>
  <c r="F61" i="1"/>
  <c r="I60" i="1"/>
  <c r="H60" i="1"/>
  <c r="F60" i="1"/>
  <c r="I59" i="1"/>
  <c r="H59" i="1"/>
  <c r="F59" i="1"/>
  <c r="I58" i="1"/>
  <c r="H58" i="1"/>
  <c r="F58" i="1"/>
  <c r="I57" i="1"/>
  <c r="H57" i="1"/>
  <c r="F57" i="1"/>
  <c r="I56" i="1"/>
  <c r="H56" i="1"/>
  <c r="F56" i="1"/>
  <c r="I55" i="1"/>
  <c r="H55" i="1"/>
  <c r="F55" i="1"/>
  <c r="I54" i="1"/>
  <c r="H54" i="1"/>
  <c r="F54" i="1"/>
  <c r="I53" i="1"/>
  <c r="H53" i="1"/>
  <c r="F53" i="1"/>
  <c r="I52" i="1"/>
  <c r="H52" i="1"/>
  <c r="F52" i="1"/>
  <c r="I51" i="1"/>
  <c r="H51" i="1"/>
  <c r="F51" i="1"/>
  <c r="I50" i="1"/>
  <c r="H50" i="1"/>
  <c r="F50" i="1"/>
  <c r="I49" i="1"/>
  <c r="H49" i="1"/>
  <c r="F49" i="1"/>
  <c r="I48" i="1"/>
  <c r="H48" i="1"/>
  <c r="F48" i="1"/>
  <c r="I47" i="1"/>
  <c r="H47" i="1"/>
  <c r="F47" i="1"/>
  <c r="I46" i="1"/>
  <c r="H46" i="1"/>
  <c r="F46" i="1"/>
  <c r="I45" i="1"/>
  <c r="H45" i="1"/>
  <c r="F45" i="1"/>
  <c r="I44" i="1"/>
  <c r="H44" i="1"/>
  <c r="F44" i="1"/>
  <c r="V2" i="1"/>
  <c r="U2" i="1"/>
  <c r="S2" i="1"/>
  <c r="Q2" i="1"/>
  <c r="O2" i="1"/>
  <c r="M2" i="1"/>
  <c r="G2" i="1"/>
  <c r="K34" i="1"/>
  <c r="H34" i="1"/>
  <c r="F34" i="1"/>
  <c r="K33" i="1"/>
  <c r="H33" i="1"/>
  <c r="F33" i="1"/>
  <c r="K32" i="1"/>
  <c r="H32" i="1"/>
  <c r="F32" i="1"/>
  <c r="K31" i="1"/>
  <c r="H31" i="1"/>
  <c r="F31" i="1"/>
  <c r="K30" i="1"/>
  <c r="H30" i="1"/>
  <c r="F30" i="1"/>
  <c r="K29" i="1"/>
  <c r="H29" i="1"/>
  <c r="F29" i="1"/>
  <c r="K28" i="1"/>
  <c r="H28" i="1"/>
  <c r="F28" i="1"/>
  <c r="K27" i="1"/>
  <c r="H27" i="1"/>
  <c r="F27" i="1"/>
  <c r="K26" i="1"/>
  <c r="H26" i="1"/>
  <c r="F26" i="1"/>
  <c r="I25" i="1"/>
  <c r="H25" i="1"/>
  <c r="F25" i="1"/>
  <c r="I24" i="1"/>
  <c r="H24" i="1"/>
  <c r="I23" i="1"/>
  <c r="H23" i="1"/>
  <c r="F23" i="1"/>
  <c r="I22" i="1"/>
  <c r="H22" i="1"/>
  <c r="F22" i="1"/>
  <c r="I21" i="1"/>
  <c r="H21" i="1"/>
  <c r="I20" i="1"/>
  <c r="H20" i="1"/>
  <c r="F20" i="1"/>
  <c r="I19" i="1"/>
  <c r="H19" i="1"/>
  <c r="F19" i="1"/>
  <c r="I18" i="1"/>
  <c r="H18" i="1"/>
  <c r="F18" i="1"/>
  <c r="I17" i="1"/>
  <c r="H17" i="1"/>
  <c r="F17" i="1"/>
  <c r="I16" i="1"/>
  <c r="H16" i="1"/>
  <c r="F16" i="1"/>
  <c r="I15" i="1"/>
  <c r="H15" i="1"/>
  <c r="I14" i="1"/>
  <c r="H14" i="1"/>
  <c r="F14" i="1"/>
  <c r="I13" i="1"/>
  <c r="H13" i="1"/>
  <c r="F13" i="1"/>
  <c r="I12" i="1"/>
  <c r="H12" i="1"/>
  <c r="F12" i="1"/>
  <c r="I11" i="1"/>
  <c r="H11" i="1"/>
  <c r="F11" i="1"/>
  <c r="I10" i="1"/>
  <c r="H10" i="1"/>
  <c r="F10" i="1"/>
  <c r="I9" i="1"/>
  <c r="H9" i="1"/>
  <c r="F9" i="1"/>
  <c r="I8" i="1"/>
  <c r="H8" i="1"/>
  <c r="F8" i="1"/>
  <c r="I7" i="1"/>
  <c r="H7" i="1"/>
  <c r="F7" i="1"/>
  <c r="I6" i="1"/>
  <c r="H6" i="1"/>
  <c r="F6" i="1"/>
  <c r="I5" i="1"/>
  <c r="H5" i="1"/>
  <c r="F5" i="1"/>
  <c r="I4" i="1"/>
  <c r="H4" i="1"/>
  <c r="F4" i="1"/>
  <c r="I3" i="1"/>
  <c r="H3" i="1"/>
  <c r="F3" i="1"/>
  <c r="I2" i="1"/>
  <c r="H2" i="1"/>
  <c r="F2" i="1"/>
</calcChain>
</file>

<file path=xl/sharedStrings.xml><?xml version="1.0" encoding="utf-8"?>
<sst xmlns="http://schemas.openxmlformats.org/spreadsheetml/2006/main" count="301" uniqueCount="52">
  <si>
    <t>mes</t>
  </si>
  <si>
    <t>especialidad</t>
  </si>
  <si>
    <t>NOMBRE DEL MEDICO</t>
  </si>
  <si>
    <t>Dias programados</t>
  </si>
  <si>
    <t>Dias laborados</t>
  </si>
  <si>
    <t>Dias no laborados</t>
  </si>
  <si>
    <t>% Cumplimiento</t>
  </si>
  <si>
    <t>Consultas programadas</t>
  </si>
  <si>
    <t>consultas agendadas</t>
  </si>
  <si>
    <t xml:space="preserve">Total Consultas Realizadas </t>
  </si>
  <si>
    <t xml:space="preserve">Total Consultas Canceladas </t>
  </si>
  <si>
    <t>% Rendimiento</t>
  </si>
  <si>
    <t>Total de formulas</t>
  </si>
  <si>
    <t>% formulas</t>
  </si>
  <si>
    <t>Total orden laboratorios</t>
  </si>
  <si>
    <t>% laboratorios</t>
  </si>
  <si>
    <t>Ayuda Diagnostica</t>
  </si>
  <si>
    <t>%Ayudas Diagnosticas</t>
  </si>
  <si>
    <t>Total  Remisiones</t>
  </si>
  <si>
    <t>% De remisiones</t>
  </si>
  <si>
    <t>Total  de resolutividad</t>
  </si>
  <si>
    <t>enero</t>
  </si>
  <si>
    <t>general</t>
  </si>
  <si>
    <t>GUILLERMO LEÓN JALLER PICO</t>
  </si>
  <si>
    <t xml:space="preserve">JOHN LÓPEZ BANQUET </t>
  </si>
  <si>
    <t>MARTHA LIGIA CORDERO SALGADO</t>
  </si>
  <si>
    <t xml:space="preserve">ZIDIA MARÍA YEPEZ VERGARA </t>
  </si>
  <si>
    <t>odontologo</t>
  </si>
  <si>
    <t>ELKIN RUIZ</t>
  </si>
  <si>
    <t>CYNTHIA CORENA</t>
  </si>
  <si>
    <t>psicologa</t>
  </si>
  <si>
    <t>ISAMAR  PEREZ SOLANO</t>
  </si>
  <si>
    <t>febrero</t>
  </si>
  <si>
    <t>VICTOR DIZ</t>
  </si>
  <si>
    <t>marzo</t>
  </si>
  <si>
    <t>internista</t>
  </si>
  <si>
    <t xml:space="preserve">ROBERTO GUZMAN SAENZ </t>
  </si>
  <si>
    <t>abril</t>
  </si>
  <si>
    <t>Etiquetas de fila</t>
  </si>
  <si>
    <t>Total general</t>
  </si>
  <si>
    <t>Suma de % Cumplimiento</t>
  </si>
  <si>
    <t>Suma de % Rendimiento</t>
  </si>
  <si>
    <t>Suma de % formulas</t>
  </si>
  <si>
    <t>Suma de % De remisiones</t>
  </si>
  <si>
    <t>Suma de Total  de resolutividad</t>
  </si>
  <si>
    <t>Suma de %Ayudas Diagnosticas</t>
  </si>
  <si>
    <t>Suma de % laboratorios</t>
  </si>
  <si>
    <t>mayo</t>
  </si>
  <si>
    <t>junio</t>
  </si>
  <si>
    <t>julio</t>
  </si>
  <si>
    <t>agosto</t>
  </si>
  <si>
    <t xml:space="preserve">septiembre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</si>
</sst>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29B95C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rgb="FF000000"/>
      </right>
      <top style="thick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ck">
        <color indexed="64"/>
      </top>
      <bottom style="medium">
        <color indexed="64"/>
      </bottom>
      <diagonal/>
    </border>
    <border>
      <left/>
      <right style="medium">
        <color rgb="FF000000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rgb="FF000000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ck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ck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indexed="64"/>
      </left>
      <right style="medium">
        <color rgb="FF000000"/>
      </right>
      <top style="thick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ck">
        <color indexed="64"/>
      </top>
      <bottom style="medium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ck">
        <color indexed="64"/>
      </left>
      <right style="medium">
        <color rgb="FF000000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 style="medium">
        <color rgb="FF000000"/>
      </right>
      <top style="thick">
        <color indexed="64"/>
      </top>
      <bottom style="thick">
        <color indexed="64"/>
      </bottom>
      <diagonal/>
    </border>
    <border>
      <left/>
      <right style="medium">
        <color rgb="FF000000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rgb="FF000000"/>
      </right>
      <top/>
      <bottom style="thick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ck">
        <color indexed="64"/>
      </bottom>
      <diagonal/>
    </border>
    <border>
      <left/>
      <right style="medium">
        <color rgb="FF000000"/>
      </right>
      <top/>
      <bottom style="thick">
        <color indexed="64"/>
      </bottom>
      <diagonal/>
    </border>
    <border>
      <left style="medium">
        <color rgb="FF000000"/>
      </left>
      <right/>
      <top style="medium">
        <color rgb="FF000000"/>
      </top>
      <bottom style="thick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ck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0" fillId="4" borderId="0" xfId="0" applyFill="1"/>
    <xf numFmtId="0" fontId="3" fillId="5" borderId="8" xfId="0" applyFont="1" applyFill="1" applyBorder="1" applyAlignment="1">
      <alignment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9" xfId="1" applyNumberFormat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9" xfId="1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7" xfId="1" applyNumberFormat="1" applyFont="1" applyBorder="1" applyAlignment="1">
      <alignment horizontal="center" vertical="center" wrapText="1"/>
    </xf>
    <xf numFmtId="0" fontId="3" fillId="0" borderId="2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0" fontId="4" fillId="4" borderId="22" xfId="0" applyFont="1" applyFill="1" applyBorder="1" applyAlignment="1">
      <alignment vertical="center" wrapText="1"/>
    </xf>
    <xf numFmtId="0" fontId="4" fillId="4" borderId="23" xfId="0" applyFont="1" applyFill="1" applyBorder="1" applyAlignment="1">
      <alignment vertical="center" wrapText="1"/>
    </xf>
    <xf numFmtId="0" fontId="4" fillId="4" borderId="24" xfId="0" applyFont="1" applyFill="1" applyBorder="1" applyAlignment="1">
      <alignment vertical="center" wrapText="1"/>
    </xf>
    <xf numFmtId="0" fontId="4" fillId="4" borderId="24" xfId="0" applyFont="1" applyFill="1" applyBorder="1" applyAlignment="1">
      <alignment horizontal="right" vertical="center" wrapText="1"/>
    </xf>
    <xf numFmtId="0" fontId="4" fillId="4" borderId="22" xfId="1" applyNumberFormat="1" applyFont="1" applyFill="1" applyBorder="1" applyAlignment="1">
      <alignment horizontal="right" vertical="center" wrapText="1"/>
    </xf>
    <xf numFmtId="0" fontId="4" fillId="4" borderId="22" xfId="0" applyFont="1" applyFill="1" applyBorder="1" applyAlignment="1">
      <alignment horizontal="right" vertical="center" wrapText="1"/>
    </xf>
    <xf numFmtId="0" fontId="0" fillId="7" borderId="0" xfId="0" applyFill="1"/>
    <xf numFmtId="0" fontId="2" fillId="8" borderId="26" xfId="0" applyFont="1" applyFill="1" applyBorder="1" applyAlignment="1">
      <alignment wrapText="1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27" xfId="1" applyNumberFormat="1" applyFont="1" applyBorder="1" applyAlignment="1">
      <alignment horizontal="center" vertical="center" wrapText="1"/>
    </xf>
    <xf numFmtId="0" fontId="2" fillId="7" borderId="1" xfId="0" applyFont="1" applyFill="1" applyBorder="1" applyAlignment="1">
      <alignment wrapText="1"/>
    </xf>
    <xf numFmtId="0" fontId="4" fillId="7" borderId="22" xfId="0" applyFont="1" applyFill="1" applyBorder="1" applyAlignment="1">
      <alignment vertical="center" wrapText="1"/>
    </xf>
    <xf numFmtId="0" fontId="4" fillId="7" borderId="23" xfId="0" applyFont="1" applyFill="1" applyBorder="1" applyAlignment="1">
      <alignment vertical="center" wrapText="1"/>
    </xf>
    <xf numFmtId="0" fontId="4" fillId="7" borderId="24" xfId="0" applyFont="1" applyFill="1" applyBorder="1" applyAlignment="1">
      <alignment vertical="center" wrapText="1"/>
    </xf>
    <xf numFmtId="0" fontId="4" fillId="7" borderId="24" xfId="0" applyFont="1" applyFill="1" applyBorder="1" applyAlignment="1">
      <alignment horizontal="right" vertical="center" wrapText="1"/>
    </xf>
    <xf numFmtId="9" fontId="4" fillId="7" borderId="22" xfId="1" applyFont="1" applyFill="1" applyBorder="1" applyAlignment="1">
      <alignment horizontal="right" vertical="center" wrapText="1"/>
    </xf>
    <xf numFmtId="0" fontId="4" fillId="7" borderId="22" xfId="0" applyFont="1" applyFill="1" applyBorder="1" applyAlignment="1">
      <alignment horizontal="right" vertical="center" wrapText="1"/>
    </xf>
    <xf numFmtId="0" fontId="0" fillId="6" borderId="0" xfId="0" applyFill="1"/>
    <xf numFmtId="0" fontId="2" fillId="8" borderId="1" xfId="0" applyFont="1" applyFill="1" applyBorder="1" applyAlignment="1">
      <alignment wrapText="1"/>
    </xf>
    <xf numFmtId="0" fontId="4" fillId="0" borderId="22" xfId="0" applyFont="1" applyBorder="1" applyAlignment="1">
      <alignment vertical="center" wrapText="1"/>
    </xf>
    <xf numFmtId="0" fontId="4" fillId="0" borderId="23" xfId="0" applyFont="1" applyBorder="1" applyAlignment="1">
      <alignment vertical="center" wrapText="1"/>
    </xf>
    <xf numFmtId="0" fontId="4" fillId="0" borderId="24" xfId="0" applyFont="1" applyBorder="1" applyAlignment="1">
      <alignment vertical="center" wrapText="1"/>
    </xf>
    <xf numFmtId="0" fontId="4" fillId="9" borderId="24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right" vertical="center" wrapText="1"/>
    </xf>
    <xf numFmtId="0" fontId="4" fillId="0" borderId="22" xfId="1" applyNumberFormat="1" applyFont="1" applyBorder="1" applyAlignment="1">
      <alignment horizontal="right" vertical="center" wrapText="1"/>
    </xf>
    <xf numFmtId="0" fontId="4" fillId="0" borderId="22" xfId="0" applyFont="1" applyBorder="1" applyAlignment="1">
      <alignment horizontal="right" vertical="center" wrapText="1"/>
    </xf>
    <xf numFmtId="0" fontId="0" fillId="10" borderId="0" xfId="0" applyFill="1"/>
    <xf numFmtId="0" fontId="3" fillId="10" borderId="8" xfId="0" applyFont="1" applyFill="1" applyBorder="1" applyAlignment="1">
      <alignment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11" xfId="0" applyFont="1" applyFill="1" applyBorder="1" applyAlignment="1">
      <alignment horizontal="center" vertical="center" wrapText="1"/>
    </xf>
    <xf numFmtId="0" fontId="4" fillId="10" borderId="9" xfId="1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2" fontId="0" fillId="0" borderId="0" xfId="0" applyNumberFormat="1"/>
    <xf numFmtId="2" fontId="3" fillId="3" borderId="4" xfId="0" applyNumberFormat="1" applyFont="1" applyFill="1" applyBorder="1" applyAlignment="1">
      <alignment horizontal="center" vertical="center" wrapText="1"/>
    </xf>
    <xf numFmtId="10" fontId="3" fillId="3" borderId="5" xfId="0" applyNumberFormat="1" applyFont="1" applyFill="1" applyBorder="1" applyAlignment="1">
      <alignment horizontal="center" vertical="center" wrapText="1"/>
    </xf>
    <xf numFmtId="10" fontId="3" fillId="3" borderId="12" xfId="1" applyNumberFormat="1" applyFont="1" applyFill="1" applyBorder="1" applyAlignment="1">
      <alignment horizontal="center" vertical="center" wrapText="1"/>
    </xf>
    <xf numFmtId="0" fontId="0" fillId="11" borderId="0" xfId="0" applyFill="1"/>
    <xf numFmtId="10" fontId="3" fillId="3" borderId="11" xfId="0" applyNumberFormat="1" applyFont="1" applyFill="1" applyBorder="1" applyAlignment="1">
      <alignment horizontal="center" vertical="center" wrapText="1"/>
    </xf>
    <xf numFmtId="10" fontId="3" fillId="3" borderId="12" xfId="0" applyNumberFormat="1" applyFont="1" applyFill="1" applyBorder="1" applyAlignment="1">
      <alignment horizontal="center" vertical="center"/>
    </xf>
    <xf numFmtId="10" fontId="4" fillId="6" borderId="12" xfId="0" applyNumberFormat="1" applyFont="1" applyFill="1" applyBorder="1" applyAlignment="1">
      <alignment horizontal="center" vertical="center" wrapText="1"/>
    </xf>
    <xf numFmtId="0" fontId="0" fillId="12" borderId="0" xfId="0" applyFill="1"/>
    <xf numFmtId="0" fontId="4" fillId="13" borderId="11" xfId="0" applyFont="1" applyFill="1" applyBorder="1" applyAlignment="1">
      <alignment horizontal="center" vertical="center" wrapText="1"/>
    </xf>
    <xf numFmtId="0" fontId="4" fillId="13" borderId="19" xfId="0" applyFont="1" applyFill="1" applyBorder="1" applyAlignment="1">
      <alignment horizontal="center" vertical="center" wrapText="1"/>
    </xf>
    <xf numFmtId="0" fontId="4" fillId="13" borderId="29" xfId="0" applyFont="1" applyFill="1" applyBorder="1" applyAlignment="1">
      <alignment horizontal="center" vertical="center" wrapText="1"/>
    </xf>
    <xf numFmtId="0" fontId="4" fillId="13" borderId="24" xfId="0" applyFont="1" applyFill="1" applyBorder="1" applyAlignment="1">
      <alignment horizontal="center" vertical="center" wrapText="1"/>
    </xf>
    <xf numFmtId="0" fontId="0" fillId="14" borderId="0" xfId="0" applyFill="1"/>
    <xf numFmtId="0" fontId="4" fillId="5" borderId="1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34" xfId="0" applyFont="1" applyFill="1" applyBorder="1" applyAlignment="1">
      <alignment horizontal="center" vertical="center" wrapText="1"/>
    </xf>
    <xf numFmtId="0" fontId="4" fillId="5" borderId="35" xfId="0" applyFont="1" applyFill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4" fillId="10" borderId="13" xfId="0" applyFont="1" applyFill="1" applyBorder="1" applyAlignment="1">
      <alignment horizontal="center" vertical="center" wrapText="1"/>
    </xf>
    <xf numFmtId="0" fontId="4" fillId="10" borderId="14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3" fillId="7" borderId="25" xfId="0" applyFont="1" applyFill="1" applyBorder="1" applyAlignment="1">
      <alignment horizontal="center" vertical="center" wrapText="1"/>
    </xf>
    <xf numFmtId="0" fontId="3" fillId="7" borderId="2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15" borderId="0" xfId="0" applyFill="1"/>
    <xf numFmtId="0" fontId="4" fillId="0" borderId="23" xfId="0" applyFont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5"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</dxfs>
  <tableStyles count="0" defaultTableStyle="TableStyleMedium2" defaultPivotStyle="PivotStyleLight16"/>
  <colors>
    <mruColors>
      <color rgb="FF00CC00"/>
      <color rgb="FF559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[Dashboard.xlsx]Hoja1!TablaDinámica8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00B05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rgbClr val="00B050"/>
                </a:solidFill>
              </a:rPr>
              <a:t>Remisiones y resolutividad mensual </a:t>
            </a:r>
          </a:p>
        </c:rich>
      </c:tx>
      <c:layout>
        <c:manualLayout>
          <c:xMode val="edge"/>
          <c:yMode val="edge"/>
          <c:x val="0.23509306873777672"/>
          <c:y val="0.112774132400116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00B05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8352667403524823E-2"/>
          <c:y val="0.27515132037066797"/>
          <c:w val="0.70790704546533878"/>
          <c:h val="0.5562620386737372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Hoja1!$H$26</c:f>
              <c:strCache>
                <c:ptCount val="1"/>
                <c:pt idx="0">
                  <c:v>Suma de % De remisiones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Hoja1!$G$27:$G$31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Hoja1!$H$27:$H$31</c:f>
              <c:numCache>
                <c:formatCode>General</c:formatCode>
                <c:ptCount val="4"/>
                <c:pt idx="0">
                  <c:v>0.1</c:v>
                </c:pt>
                <c:pt idx="1">
                  <c:v>0.15107913669064749</c:v>
                </c:pt>
                <c:pt idx="2">
                  <c:v>0.23780487804878048</c:v>
                </c:pt>
                <c:pt idx="3">
                  <c:v>0.17482517482517482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E5-44FC-8151-DCCF58C097D9}"/>
            </c:ext>
          </c:extLst>
        </c:ser>
        <c:ser>
          <c:idx val="1"/>
          <c:order val="1"/>
          <c:tx>
            <c:strRef>
              <c:f>Hoja1!$I$26</c:f>
              <c:strCache>
                <c:ptCount val="1"/>
                <c:pt idx="0">
                  <c:v>Suma de Total  de resolutividad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Hoja1!$G$27:$G$31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Hoja1!$I$27:$I$31</c:f>
              <c:numCache>
                <c:formatCode>General</c:formatCode>
                <c:ptCount val="4"/>
                <c:pt idx="0">
                  <c:v>0.9</c:v>
                </c:pt>
                <c:pt idx="1">
                  <c:v>0.84892086330935257</c:v>
                </c:pt>
                <c:pt idx="2">
                  <c:v>0.76219512195121952</c:v>
                </c:pt>
                <c:pt idx="3">
                  <c:v>0.82517482517482521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0E5-44FC-8151-DCCF58C097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71517823"/>
        <c:axId val="371523103"/>
        <c:axId val="0"/>
      </c:bar3DChart>
      <c:catAx>
        <c:axId val="37151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1523103"/>
        <c:crosses val="autoZero"/>
        <c:auto val="1"/>
        <c:lblAlgn val="ctr"/>
        <c:lblOffset val="100"/>
        <c:noMultiLvlLbl val="0"/>
      </c:catAx>
      <c:valAx>
        <c:axId val="3715231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7151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625971286886382"/>
          <c:y val="0.32448915314157162"/>
          <c:w val="0.22507755885360242"/>
          <c:h val="0.50220279607906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[Dashboard.xlsx]Hoja1!TablaDinámica5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00B05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rgbClr val="00B050"/>
                </a:solidFill>
              </a:rPr>
              <a:t>Procedimientos</a:t>
            </a:r>
            <a:r>
              <a:rPr lang="es-CO" baseline="0">
                <a:solidFill>
                  <a:srgbClr val="00B050"/>
                </a:solidFill>
              </a:rPr>
              <a:t> medi</a:t>
            </a:r>
            <a:r>
              <a:rPr lang="es-CO">
                <a:solidFill>
                  <a:srgbClr val="00B050"/>
                </a:solidFill>
              </a:rPr>
              <a:t>cos</a:t>
            </a:r>
          </a:p>
        </c:rich>
      </c:tx>
      <c:layout>
        <c:manualLayout>
          <c:xMode val="edge"/>
          <c:yMode val="edge"/>
          <c:x val="0.25053369518176516"/>
          <c:y val="0.106337489063867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00B05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B0F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1524779698882115E-2"/>
              <c:y val="5.188069564251082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2128931496845444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1524779698882115E-2"/>
              <c:y val="5.188069564251082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2128931496845444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00B0F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1524779698882115E-2"/>
              <c:y val="5.188069564251082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2128931496845444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00B0F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1524779698882115E-2"/>
              <c:y val="5.1880695642510825E-3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2128931496845444E-2"/>
              <c:y val="0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00B0F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460729493042621"/>
          <c:y val="0.20211869349664624"/>
          <c:w val="0.69665501442290512"/>
          <c:h val="0.74081255468066498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Hoja1!$G$11</c:f>
              <c:strCache>
                <c:ptCount val="1"/>
                <c:pt idx="0">
                  <c:v>Suma de % formulas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Hoja1!$F$12:$F$16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Hoja1!$G$12:$G$16</c:f>
              <c:numCache>
                <c:formatCode>General</c:formatCode>
                <c:ptCount val="4"/>
                <c:pt idx="0">
                  <c:v>0.68571428571428572</c:v>
                </c:pt>
                <c:pt idx="1">
                  <c:v>0.69064748201438853</c:v>
                </c:pt>
                <c:pt idx="2">
                  <c:v>0.54878048780487809</c:v>
                </c:pt>
                <c:pt idx="3">
                  <c:v>0.58741258741258739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1B-4784-A7F8-F2DC695FED9E}"/>
            </c:ext>
          </c:extLst>
        </c:ser>
        <c:ser>
          <c:idx val="1"/>
          <c:order val="1"/>
          <c:tx>
            <c:strRef>
              <c:f>Hoja1!$H$11</c:f>
              <c:strCache>
                <c:ptCount val="1"/>
                <c:pt idx="0">
                  <c:v>Suma de % laboratorios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191B-4784-A7F8-F2DC695FED9E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191B-4784-A7F8-F2DC695FED9E}"/>
              </c:ext>
            </c:extLst>
          </c:dPt>
          <c:dLbls>
            <c:dLbl>
              <c:idx val="0"/>
              <c:layout>
                <c:manualLayout>
                  <c:x val="-3.1524779698882115E-2"/>
                  <c:y val="5.1880695642510825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91B-4784-A7F8-F2DC695FED9E}"/>
                </c:ext>
              </c:extLst>
            </c:dLbl>
            <c:dLbl>
              <c:idx val="2"/>
              <c:layout>
                <c:manualLayout>
                  <c:x val="-1.2128931496845444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91B-4784-A7F8-F2DC695FED9E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Hoja1!$F$12:$F$16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Hoja1!$H$12:$H$16</c:f>
              <c:numCache>
                <c:formatCode>General</c:formatCode>
                <c:ptCount val="4"/>
                <c:pt idx="0">
                  <c:v>0.18571428571428572</c:v>
                </c:pt>
                <c:pt idx="1">
                  <c:v>7.1942446043165471E-3</c:v>
                </c:pt>
                <c:pt idx="2">
                  <c:v>0.17073170731707318</c:v>
                </c:pt>
                <c:pt idx="3">
                  <c:v>0.11188811188811189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91B-4784-A7F8-F2DC695FED9E}"/>
            </c:ext>
          </c:extLst>
        </c:ser>
        <c:ser>
          <c:idx val="2"/>
          <c:order val="2"/>
          <c:tx>
            <c:strRef>
              <c:f>Hoja1!$I$11</c:f>
              <c:strCache>
                <c:ptCount val="1"/>
                <c:pt idx="0">
                  <c:v>Suma de %Ayudas Diagnosticas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Hoja1!$F$12:$F$16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Hoja1!$I$12:$I$16</c:f>
              <c:numCache>
                <c:formatCode>General</c:formatCode>
                <c:ptCount val="4"/>
                <c:pt idx="0">
                  <c:v>0.12857142857142856</c:v>
                </c:pt>
                <c:pt idx="1">
                  <c:v>0.1223021582733813</c:v>
                </c:pt>
                <c:pt idx="2">
                  <c:v>0.14634146341463414</c:v>
                </c:pt>
                <c:pt idx="3">
                  <c:v>9.7902097902097904E-2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91B-4784-A7F8-F2DC695FED9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71494783"/>
        <c:axId val="371507743"/>
      </c:barChart>
      <c:catAx>
        <c:axId val="371494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1507743"/>
        <c:crosses val="autoZero"/>
        <c:auto val="1"/>
        <c:lblAlgn val="ctr"/>
        <c:lblOffset val="100"/>
        <c:noMultiLvlLbl val="0"/>
      </c:catAx>
      <c:valAx>
        <c:axId val="37150774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37149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466894732272955"/>
          <c:y val="0.20889414867455039"/>
          <c:w val="0.16032001179504746"/>
          <c:h val="0.688873102269514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[Dashboard.xlsx]Hoja1!TablaDinámica7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00B05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rgbClr val="00B05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%Rendimiento mensual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0B050"/>
                </a:solidFill>
              </a:defRPr>
            </a:pPr>
            <a:endParaRPr lang="en-US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0.24689304461942257"/>
          <c:y val="4.86464712744240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00B05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00CC00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00CC00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00CC00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00CC00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1473533619456366E-2"/>
          <c:y val="0.22213250700947409"/>
          <c:w val="0.93705293276108725"/>
          <c:h val="0.59986351711505792"/>
        </c:manualLayout>
      </c:layout>
      <c:lineChart>
        <c:grouping val="standard"/>
        <c:varyColors val="0"/>
        <c:ser>
          <c:idx val="0"/>
          <c:order val="0"/>
          <c:tx>
            <c:strRef>
              <c:f>Hoja1!$J$18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CC00"/>
              </a:soli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Hoja1!$I$19:$I$23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Hoja1!$J$19:$J$23</c:f>
              <c:numCache>
                <c:formatCode>General</c:formatCode>
                <c:ptCount val="4"/>
                <c:pt idx="0">
                  <c:v>0.86419753086419748</c:v>
                </c:pt>
                <c:pt idx="1">
                  <c:v>0.97202797202797198</c:v>
                </c:pt>
                <c:pt idx="2">
                  <c:v>0.98795180722891562</c:v>
                </c:pt>
                <c:pt idx="3">
                  <c:v>0.95973154362416102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C0-4A4E-BE23-57F039F38F9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71501023"/>
        <c:axId val="371495263"/>
      </c:lineChart>
      <c:catAx>
        <c:axId val="371501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1495263"/>
        <c:crosses val="autoZero"/>
        <c:auto val="1"/>
        <c:lblAlgn val="ctr"/>
        <c:lblOffset val="100"/>
        <c:noMultiLvlLbl val="0"/>
      </c:catAx>
      <c:valAx>
        <c:axId val="3714952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71501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[Dashboard.xlsx]Hoja1!TablaDinámica6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00B05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rgbClr val="00B05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% Cumplimiento mensual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0B050"/>
                </a:solidFill>
              </a:defRPr>
            </a:pPr>
            <a:endParaRPr lang="en-US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0.30193132108486437"/>
          <c:y val="3.24281860600758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00B05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00CC00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00CC00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00CC00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00CC00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00CC00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934284319813271E-2"/>
          <c:y val="0.12773622047244093"/>
          <c:w val="0.94078296617995238"/>
          <c:h val="0.77087999416739572"/>
        </c:manualLayout>
      </c:layout>
      <c:lineChart>
        <c:grouping val="standard"/>
        <c:varyColors val="0"/>
        <c:ser>
          <c:idx val="0"/>
          <c:order val="0"/>
          <c:tx>
            <c:strRef>
              <c:f>Hoja1!$G$18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CC00"/>
              </a:soli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Hoja1!$F$19:$F$23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Hoja1!$G$19:$G$23</c:f>
              <c:numCache>
                <c:formatCode>General</c:formatCode>
                <c:ptCount val="4"/>
                <c:pt idx="0">
                  <c:v>0.9</c:v>
                </c:pt>
                <c:pt idx="1">
                  <c:v>0.95</c:v>
                </c:pt>
                <c:pt idx="2">
                  <c:v>0.9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83-4278-B173-60C478B04DB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71502943"/>
        <c:axId val="371496703"/>
      </c:lineChart>
      <c:catAx>
        <c:axId val="37150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1496703"/>
        <c:crosses val="autoZero"/>
        <c:auto val="1"/>
        <c:lblAlgn val="ctr"/>
        <c:lblOffset val="100"/>
        <c:noMultiLvlLbl val="0"/>
      </c:catAx>
      <c:valAx>
        <c:axId val="3714967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71502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13</xdr:row>
      <xdr:rowOff>95250</xdr:rowOff>
    </xdr:from>
    <xdr:to>
      <xdr:col>3</xdr:col>
      <xdr:colOff>504825</xdr:colOff>
      <xdr:row>26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es 2">
              <a:extLst>
                <a:ext uri="{FF2B5EF4-FFF2-40B4-BE49-F238E27FC236}">
                  <a16:creationId xmlns:a16="http://schemas.microsoft.com/office/drawing/2014/main" id="{4F9C0F76-064F-BA99-9D6C-4AE6C86482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2025" y="25717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200025</xdr:colOff>
      <xdr:row>0</xdr:row>
      <xdr:rowOff>0</xdr:rowOff>
    </xdr:from>
    <xdr:to>
      <xdr:col>3</xdr:col>
      <xdr:colOff>504825</xdr:colOff>
      <xdr:row>13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NOMBRE DEL MEDICO 2">
              <a:extLst>
                <a:ext uri="{FF2B5EF4-FFF2-40B4-BE49-F238E27FC236}">
                  <a16:creationId xmlns:a16="http://schemas.microsoft.com/office/drawing/2014/main" id="{18649F9C-5CF8-F7BC-C5A5-D1DC454651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DEL MEDIC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2025" y="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212912</xdr:colOff>
      <xdr:row>0</xdr:row>
      <xdr:rowOff>0</xdr:rowOff>
    </xdr:from>
    <xdr:to>
      <xdr:col>18</xdr:col>
      <xdr:colOff>517712</xdr:colOff>
      <xdr:row>15</xdr:row>
      <xdr:rowOff>89647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NOMBRE DEL MEDICO 3">
              <a:extLst>
                <a:ext uri="{FF2B5EF4-FFF2-40B4-BE49-F238E27FC236}">
                  <a16:creationId xmlns:a16="http://schemas.microsoft.com/office/drawing/2014/main" id="{DCD0DA7B-4438-4E82-8981-D9E374633C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DEL MEDICO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04912" y="0"/>
              <a:ext cx="1828800" cy="29471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8</xdr:col>
      <xdr:colOff>67234</xdr:colOff>
      <xdr:row>0</xdr:row>
      <xdr:rowOff>0</xdr:rowOff>
    </xdr:from>
    <xdr:to>
      <xdr:col>16</xdr:col>
      <xdr:colOff>212911</xdr:colOff>
      <xdr:row>12</xdr:row>
      <xdr:rowOff>145676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39574F2-C860-491A-BA89-88DBA14898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56028</xdr:colOff>
      <xdr:row>12</xdr:row>
      <xdr:rowOff>134471</xdr:rowOff>
    </xdr:from>
    <xdr:to>
      <xdr:col>16</xdr:col>
      <xdr:colOff>145675</xdr:colOff>
      <xdr:row>25</xdr:row>
      <xdr:rowOff>67235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95A41482-5A21-42DC-ADB1-FC69C6B270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33617</xdr:colOff>
      <xdr:row>0</xdr:row>
      <xdr:rowOff>22412</xdr:rowOff>
    </xdr:from>
    <xdr:to>
      <xdr:col>8</xdr:col>
      <xdr:colOff>134470</xdr:colOff>
      <xdr:row>12</xdr:row>
      <xdr:rowOff>168088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5C357EFD-400F-42BF-93E4-F0B005EE3D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33618</xdr:colOff>
      <xdr:row>12</xdr:row>
      <xdr:rowOff>145677</xdr:rowOff>
    </xdr:from>
    <xdr:to>
      <xdr:col>8</xdr:col>
      <xdr:colOff>145676</xdr:colOff>
      <xdr:row>25</xdr:row>
      <xdr:rowOff>89648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CA4B1689-00B6-4C57-89BB-E5E6D41DA7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16</xdr:col>
      <xdr:colOff>224118</xdr:colOff>
      <xdr:row>15</xdr:row>
      <xdr:rowOff>89648</xdr:rowOff>
    </xdr:from>
    <xdr:to>
      <xdr:col>18</xdr:col>
      <xdr:colOff>528918</xdr:colOff>
      <xdr:row>23</xdr:row>
      <xdr:rowOff>33618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mes 3">
              <a:extLst>
                <a:ext uri="{FF2B5EF4-FFF2-40B4-BE49-F238E27FC236}">
                  <a16:creationId xmlns:a16="http://schemas.microsoft.com/office/drawing/2014/main" id="{A740C183-A16B-4760-BEBF-8A3EC2006F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16118" y="2947148"/>
              <a:ext cx="1828800" cy="14679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uricio" refreshedDate="46162.635580555558" createdVersion="8" refreshedVersion="8" minRefreshableVersion="3" recordCount="34" xr:uid="{2F764F6F-2B1C-4D05-81AE-540AA112ACC5}">
  <cacheSource type="worksheet">
    <worksheetSource ref="A1:V1048576" sheet="base"/>
  </cacheSource>
  <cacheFields count="22">
    <cacheField name="mes" numFmtId="0">
      <sharedItems containsBlank="1" count="5">
        <s v="enero"/>
        <s v="febrero"/>
        <s v="marzo"/>
        <s v="abril"/>
        <m/>
      </sharedItems>
    </cacheField>
    <cacheField name="especialidad" numFmtId="0">
      <sharedItems containsBlank="1"/>
    </cacheField>
    <cacheField name="NOMBRE DEL MEDICO" numFmtId="0">
      <sharedItems containsBlank="1" count="10">
        <s v="GUILLERMO LEÓN JALLER PICO"/>
        <s v="JOHN LÓPEZ BANQUET "/>
        <s v="MARTHA LIGIA CORDERO SALGADO"/>
        <s v="ZIDIA MARÍA YEPEZ VERGARA "/>
        <s v="ELKIN RUIZ"/>
        <s v="CYNTHIA CORENA"/>
        <s v="ISAMAR  PEREZ SOLANO"/>
        <s v="VICTOR DIZ"/>
        <s v="ROBERTO GUZMAN SAENZ "/>
        <m/>
      </sharedItems>
    </cacheField>
    <cacheField name="Dias programados" numFmtId="0">
      <sharedItems containsString="0" containsBlank="1" containsNumber="1" containsInteger="1" minValue="5" maxValue="20"/>
    </cacheField>
    <cacheField name="Dias laborados" numFmtId="0">
      <sharedItems containsString="0" containsBlank="1" containsNumber="1" containsInteger="1" minValue="3" maxValue="19"/>
    </cacheField>
    <cacheField name="Dias no laborados" numFmtId="0">
      <sharedItems containsString="0" containsBlank="1" containsNumber="1" containsInteger="1" minValue="0" maxValue="9"/>
    </cacheField>
    <cacheField name="% Cumplimiento" numFmtId="10">
      <sharedItems containsString="0" containsBlank="1" containsNumber="1" minValue="0.3" maxValue="1"/>
    </cacheField>
    <cacheField name="Consultas programadas" numFmtId="0">
      <sharedItems containsString="0" containsBlank="1" containsNumber="1" containsInteger="1" minValue="24" maxValue="304"/>
    </cacheField>
    <cacheField name="consultas agendadas" numFmtId="0">
      <sharedItems containsString="0" containsBlank="1" containsNumber="1" containsInteger="1" minValue="9" maxValue="166"/>
    </cacheField>
    <cacheField name="Total Consultas Realizadas " numFmtId="0">
      <sharedItems containsString="0" containsBlank="1" containsNumber="1" containsInteger="1" minValue="8" maxValue="164"/>
    </cacheField>
    <cacheField name="Total Consultas Canceladas " numFmtId="0">
      <sharedItems containsString="0" containsBlank="1" containsNumber="1" containsInteger="1" minValue="0" maxValue="11"/>
    </cacheField>
    <cacheField name="Campo1" numFmtId="0">
      <sharedItems containsNonDate="0" containsString="0" containsBlank="1"/>
    </cacheField>
    <cacheField name="% Rendimiento" numFmtId="10">
      <sharedItems containsString="0" containsBlank="1" containsNumber="1" minValue="0.8" maxValue="1"/>
    </cacheField>
    <cacheField name="Total de formulas" numFmtId="0">
      <sharedItems containsString="0" containsBlank="1" containsNumber="1" containsInteger="1" minValue="0" maxValue="127"/>
    </cacheField>
    <cacheField name="% formulas" numFmtId="0">
      <sharedItems containsString="0" containsBlank="1" containsNumber="1" minValue="0" maxValue="1.25"/>
    </cacheField>
    <cacheField name="Total orden laboratorios" numFmtId="0">
      <sharedItems containsString="0" containsBlank="1" containsNumber="1" containsInteger="1" minValue="0" maxValue="58"/>
    </cacheField>
    <cacheField name="% laboratorios" numFmtId="0">
      <sharedItems containsString="0" containsBlank="1" containsNumber="1" minValue="0" maxValue="0.88372093023255816"/>
    </cacheField>
    <cacheField name="Ayuda Diagnostica" numFmtId="0">
      <sharedItems containsString="0" containsBlank="1" containsNumber="1" containsInteger="1" minValue="0" maxValue="36"/>
    </cacheField>
    <cacheField name="%Ayudas Diagnosticas" numFmtId="10">
      <sharedItems containsString="0" containsBlank="1" containsNumber="1" minValue="0" maxValue="0.7441860465116279"/>
    </cacheField>
    <cacheField name="Total  Remisiones" numFmtId="0">
      <sharedItems containsString="0" containsBlank="1" containsNumber="1" containsInteger="1" minValue="0" maxValue="39"/>
    </cacheField>
    <cacheField name="% De remisiones" numFmtId="0">
      <sharedItems containsString="0" containsBlank="1" containsNumber="1" minValue="0" maxValue="0.34375"/>
    </cacheField>
    <cacheField name="Total  de resolutividad" numFmtId="0">
      <sharedItems containsString="0" containsBlank="1" containsNumber="1" minValue="0.65625" maxValue="1"/>
    </cacheField>
  </cacheFields>
  <extLst>
    <ext xmlns:x14="http://schemas.microsoft.com/office/spreadsheetml/2009/9/main" uri="{725AE2AE-9491-48be-B2B4-4EB974FC3084}">
      <x14:pivotCacheDefinition pivotCacheId="79429027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x v="0"/>
    <s v="general"/>
    <x v="0"/>
    <n v="10"/>
    <n v="9"/>
    <n v="1"/>
    <n v="0.9"/>
    <n v="108"/>
    <n v="81"/>
    <n v="70"/>
    <n v="11"/>
    <m/>
    <n v="0.86419753086419748"/>
    <n v="48"/>
    <n v="0.68571428571428572"/>
    <n v="13"/>
    <n v="0.18571428571428572"/>
    <n v="9"/>
    <n v="0.12857142857142856"/>
    <n v="7"/>
    <n v="0.1"/>
    <n v="0.9"/>
  </r>
  <r>
    <x v="0"/>
    <s v="general"/>
    <x v="1"/>
    <n v="10"/>
    <n v="8"/>
    <n v="2"/>
    <n v="0.8"/>
    <n v="64"/>
    <n v="68"/>
    <n v="60"/>
    <n v="8"/>
    <m/>
    <n v="0.88235294117647056"/>
    <n v="55"/>
    <n v="0.91666666666666663"/>
    <n v="4"/>
    <n v="6.6666666666666666E-2"/>
    <n v="2"/>
    <n v="3.3333333333333333E-2"/>
    <n v="7"/>
    <n v="0.11666666666666667"/>
    <n v="0.8833333333333333"/>
  </r>
  <r>
    <x v="0"/>
    <s v="general"/>
    <x v="2"/>
    <n v="10"/>
    <n v="10"/>
    <n v="0"/>
    <n v="1"/>
    <n v="80"/>
    <n v="60"/>
    <n v="50"/>
    <n v="10"/>
    <m/>
    <n v="0.83333333333333337"/>
    <n v="55"/>
    <n v="1.1000000000000001"/>
    <n v="0"/>
    <n v="0"/>
    <n v="6"/>
    <n v="0.12"/>
    <n v="4"/>
    <n v="0.08"/>
    <n v="0.92"/>
  </r>
  <r>
    <x v="0"/>
    <s v="general"/>
    <x v="3"/>
    <n v="10"/>
    <n v="3"/>
    <n v="7"/>
    <n v="0.3"/>
    <n v="24"/>
    <n v="21"/>
    <n v="18"/>
    <n v="3"/>
    <m/>
    <n v="0.8571428571428571"/>
    <n v="21"/>
    <n v="1.1666666666666667"/>
    <n v="0"/>
    <n v="0"/>
    <n v="2"/>
    <n v="0.1111111111111111"/>
    <n v="1"/>
    <n v="5.5555555555555552E-2"/>
    <n v="0.94444444444444442"/>
  </r>
  <r>
    <x v="0"/>
    <s v="odontologo"/>
    <x v="4"/>
    <n v="10"/>
    <n v="8"/>
    <n v="2"/>
    <n v="0.8"/>
    <n v="128"/>
    <n v="55"/>
    <n v="44"/>
    <n v="11"/>
    <m/>
    <n v="0.8"/>
    <n v="1"/>
    <n v="2.2727272727272728E-2"/>
    <n v="0"/>
    <n v="0"/>
    <n v="8"/>
    <n v="0.18181818181818182"/>
    <n v="5"/>
    <n v="0.11363636363636363"/>
    <n v="0.88636363636363635"/>
  </r>
  <r>
    <x v="0"/>
    <s v="odontologo"/>
    <x v="5"/>
    <n v="5"/>
    <n v="3"/>
    <n v="2"/>
    <n v="0.6"/>
    <n v="24"/>
    <n v="11"/>
    <n v="10"/>
    <n v="1"/>
    <m/>
    <n v="0.90909090909090906"/>
    <n v="0"/>
    <n v="0"/>
    <n v="0"/>
    <n v="0"/>
    <n v="2"/>
    <n v="0.2"/>
    <n v="1"/>
    <n v="0.1"/>
    <n v="0.9"/>
  </r>
  <r>
    <x v="0"/>
    <s v="psicologa"/>
    <x v="6"/>
    <n v="8"/>
    <n v="3"/>
    <n v="5"/>
    <n v="0.375"/>
    <n v="24"/>
    <n v="9"/>
    <n v="8"/>
    <n v="1"/>
    <m/>
    <n v="0.88888888888888884"/>
    <n v="0"/>
    <n v="0"/>
    <n v="0"/>
    <n v="0"/>
    <n v="0"/>
    <n v="0"/>
    <n v="0"/>
    <n v="0"/>
    <n v="1"/>
  </r>
  <r>
    <x v="1"/>
    <s v="general"/>
    <x v="0"/>
    <n v="20"/>
    <n v="19"/>
    <n v="1"/>
    <n v="0.95"/>
    <n v="228"/>
    <n v="143"/>
    <n v="139"/>
    <n v="4"/>
    <m/>
    <n v="0.97202797202797198"/>
    <n v="96"/>
    <n v="0.69064748201438853"/>
    <n v="1"/>
    <n v="7.1942446043165471E-3"/>
    <n v="17"/>
    <n v="0.1223021582733813"/>
    <n v="21"/>
    <n v="0.15107913669064749"/>
    <n v="0.84892086330935257"/>
  </r>
  <r>
    <x v="1"/>
    <s v="general"/>
    <x v="1"/>
    <n v="20"/>
    <n v="17"/>
    <n v="3"/>
    <n v="0.85"/>
    <n v="136"/>
    <n v="114"/>
    <n v="112"/>
    <n v="2"/>
    <m/>
    <n v="0.98245614035087714"/>
    <n v="107"/>
    <n v="0.9553571428571429"/>
    <n v="37"/>
    <n v="0.33035714285714285"/>
    <n v="17"/>
    <n v="0.15178571428571427"/>
    <n v="23"/>
    <n v="0.20535714285714285"/>
    <n v="0.79464285714285721"/>
  </r>
  <r>
    <x v="1"/>
    <s v="general"/>
    <x v="2"/>
    <n v="20"/>
    <n v="16"/>
    <n v="4"/>
    <n v="0.8"/>
    <n v="128"/>
    <n v="78"/>
    <n v="77"/>
    <n v="1"/>
    <m/>
    <n v="0.98717948717948723"/>
    <n v="68"/>
    <n v="0.88311688311688308"/>
    <n v="22"/>
    <n v="0.2857142857142857"/>
    <n v="8"/>
    <n v="0.1038961038961039"/>
    <n v="11"/>
    <n v="0.14285714285714285"/>
    <n v="0.85714285714285721"/>
  </r>
  <r>
    <x v="1"/>
    <s v="general"/>
    <x v="3"/>
    <n v="20"/>
    <n v="13"/>
    <n v="7"/>
    <n v="0.65"/>
    <n v="104"/>
    <n v="65"/>
    <n v="61"/>
    <n v="4"/>
    <m/>
    <n v="0.93846153846153846"/>
    <n v="57"/>
    <n v="0.93442622950819676"/>
    <n v="14"/>
    <n v="0.22950819672131148"/>
    <n v="1"/>
    <n v="1.6393442622950821E-2"/>
    <n v="16"/>
    <n v="0.26229508196721313"/>
    <n v="0.73770491803278682"/>
  </r>
  <r>
    <x v="1"/>
    <s v="odontologo"/>
    <x v="4"/>
    <n v="20"/>
    <n v="17"/>
    <n v="3"/>
    <n v="0.85"/>
    <n v="272"/>
    <n v="65"/>
    <n v="64"/>
    <n v="1"/>
    <m/>
    <n v="0.98461538461538467"/>
    <n v="1"/>
    <n v="1.5625E-2"/>
    <n v="0"/>
    <n v="0"/>
    <n v="26"/>
    <n v="0.40625"/>
    <n v="22"/>
    <n v="0.34375"/>
    <n v="0.65625"/>
  </r>
  <r>
    <x v="1"/>
    <s v="odontologo"/>
    <x v="5"/>
    <n v="20"/>
    <n v="11"/>
    <n v="9"/>
    <n v="0.55000000000000004"/>
    <n v="88"/>
    <n v="22"/>
    <n v="21"/>
    <n v="1"/>
    <m/>
    <n v="0.95454545454545459"/>
    <n v="2"/>
    <n v="9.5238095238095233E-2"/>
    <n v="0"/>
    <n v="0"/>
    <n v="10"/>
    <n v="0.47619047619047616"/>
    <n v="5"/>
    <n v="0.23809523809523808"/>
    <n v="0.76190476190476186"/>
  </r>
  <r>
    <x v="1"/>
    <s v="odontologo"/>
    <x v="7"/>
    <n v="19"/>
    <n v="12"/>
    <n v="0"/>
    <n v="0.63157894736842102"/>
    <n v="96"/>
    <n v="28"/>
    <n v="28"/>
    <n v="0"/>
    <m/>
    <n v="1"/>
    <n v="0"/>
    <n v="0"/>
    <n v="0"/>
    <n v="0"/>
    <n v="4"/>
    <n v="0.14285714285714285"/>
    <n v="2"/>
    <n v="7.1428571428571425E-2"/>
    <n v="0.9285714285714286"/>
  </r>
  <r>
    <x v="1"/>
    <s v="psicologa"/>
    <x v="6"/>
    <n v="16"/>
    <n v="10"/>
    <n v="6"/>
    <n v="0.625"/>
    <n v="80"/>
    <n v="24"/>
    <n v="23"/>
    <n v="1"/>
    <m/>
    <n v="0.95833333333333337"/>
    <n v="0"/>
    <n v="0"/>
    <n v="0"/>
    <n v="0"/>
    <n v="0"/>
    <n v="0"/>
    <n v="0"/>
    <n v="0"/>
    <n v="1"/>
  </r>
  <r>
    <x v="2"/>
    <s v="general"/>
    <x v="0"/>
    <n v="20"/>
    <n v="18"/>
    <n v="2"/>
    <n v="0.9"/>
    <n v="216"/>
    <n v="166"/>
    <n v="164"/>
    <n v="2"/>
    <m/>
    <n v="0.98795180722891562"/>
    <n v="90"/>
    <n v="0.54878048780487809"/>
    <n v="28"/>
    <n v="0.17073170731707318"/>
    <n v="24"/>
    <n v="0.14634146341463414"/>
    <n v="39"/>
    <n v="0.23780487804878048"/>
    <n v="0.76219512195121952"/>
  </r>
  <r>
    <x v="2"/>
    <s v="general"/>
    <x v="1"/>
    <n v="20"/>
    <n v="18"/>
    <n v="2"/>
    <n v="0.9"/>
    <n v="144"/>
    <n v="135"/>
    <n v="133"/>
    <n v="2"/>
    <m/>
    <n v="0.98518518518518516"/>
    <n v="127"/>
    <n v="0.95488721804511278"/>
    <n v="58"/>
    <n v="0.43609022556390975"/>
    <n v="19"/>
    <n v="0.14285714285714285"/>
    <n v="30"/>
    <n v="0.22556390977443608"/>
    <n v="0.77443609022556392"/>
  </r>
  <r>
    <x v="2"/>
    <s v="general"/>
    <x v="2"/>
    <n v="20"/>
    <n v="18"/>
    <n v="2"/>
    <n v="0.9"/>
    <n v="144"/>
    <n v="112"/>
    <n v="111"/>
    <n v="1"/>
    <m/>
    <n v="0.9910714285714286"/>
    <n v="113"/>
    <n v="1.0180180180180181"/>
    <n v="5"/>
    <n v="4.5045045045045043E-2"/>
    <n v="8"/>
    <n v="7.2072072072072071E-2"/>
    <n v="14"/>
    <n v="0.12612612612612611"/>
    <n v="0.87387387387387383"/>
  </r>
  <r>
    <x v="2"/>
    <s v="general"/>
    <x v="3"/>
    <n v="20"/>
    <n v="16"/>
    <n v="4"/>
    <n v="0.8"/>
    <n v="128"/>
    <n v="77"/>
    <n v="76"/>
    <n v="1"/>
    <m/>
    <n v="0.98701298701298701"/>
    <n v="95"/>
    <n v="1.25"/>
    <n v="9"/>
    <n v="0.11842105263157894"/>
    <n v="1"/>
    <n v="1.3157894736842105E-2"/>
    <n v="8"/>
    <n v="0.10526315789473684"/>
    <n v="0.89473684210526316"/>
  </r>
  <r>
    <x v="2"/>
    <s v="internista"/>
    <x v="8"/>
    <n v="10"/>
    <n v="8"/>
    <n v="0"/>
    <n v="0.8"/>
    <n v="48"/>
    <n v="45"/>
    <n v="43"/>
    <n v="2"/>
    <m/>
    <n v="0.9555555555555556"/>
    <n v="39"/>
    <n v="0.90697674418604646"/>
    <n v="38"/>
    <n v="0.88372093023255816"/>
    <n v="32"/>
    <n v="0.7441860465116279"/>
    <n v="2"/>
    <n v="4.6511627906976744E-2"/>
    <n v="0.95348837209302328"/>
  </r>
  <r>
    <x v="2"/>
    <s v="odontologo"/>
    <x v="4"/>
    <n v="20"/>
    <n v="19"/>
    <n v="1"/>
    <n v="0.95"/>
    <n v="304"/>
    <n v="87"/>
    <n v="86"/>
    <n v="1"/>
    <m/>
    <n v="0.9885057471264368"/>
    <n v="4"/>
    <n v="4.6511627906976744E-2"/>
    <n v="0"/>
    <n v="0"/>
    <n v="14"/>
    <n v="0.16279069767441862"/>
    <n v="8"/>
    <n v="9.3023255813953487E-2"/>
    <n v="0.90697674418604657"/>
  </r>
  <r>
    <x v="2"/>
    <s v="odontologo"/>
    <x v="5"/>
    <n v="20"/>
    <n v="11"/>
    <n v="9"/>
    <n v="0.55000000000000004"/>
    <n v="88"/>
    <n v="27"/>
    <n v="26"/>
    <n v="1"/>
    <m/>
    <n v="0.96296296296296291"/>
    <n v="1"/>
    <n v="3.8461538461538464E-2"/>
    <n v="0"/>
    <n v="0"/>
    <n v="4"/>
    <n v="0.15384615384615385"/>
    <n v="5"/>
    <n v="0.19230769230769232"/>
    <n v="0.80769230769230771"/>
  </r>
  <r>
    <x v="2"/>
    <s v="odontologo"/>
    <x v="7"/>
    <n v="20"/>
    <n v="12"/>
    <n v="0"/>
    <n v="0.6"/>
    <n v="96"/>
    <n v="30"/>
    <n v="30"/>
    <n v="0"/>
    <m/>
    <n v="1"/>
    <n v="3"/>
    <n v="0.1"/>
    <n v="0"/>
    <n v="0"/>
    <n v="2"/>
    <n v="6.6666666666666666E-2"/>
    <n v="3"/>
    <n v="0.1"/>
    <n v="0.9"/>
  </r>
  <r>
    <x v="2"/>
    <s v="psicologa"/>
    <x v="6"/>
    <n v="16"/>
    <n v="10"/>
    <n v="6"/>
    <n v="0.625"/>
    <n v="80"/>
    <n v="45"/>
    <n v="43"/>
    <n v="2"/>
    <m/>
    <n v="0.9555555555555556"/>
    <n v="0"/>
    <n v="0"/>
    <n v="0"/>
    <n v="0"/>
    <n v="0"/>
    <n v="0"/>
    <n v="0"/>
    <n v="0"/>
    <n v="1"/>
  </r>
  <r>
    <x v="3"/>
    <s v="general"/>
    <x v="0"/>
    <n v="17"/>
    <n v="17"/>
    <n v="0"/>
    <n v="1"/>
    <n v="204"/>
    <n v="149"/>
    <n v="143"/>
    <n v="6"/>
    <m/>
    <n v="0.95973154362416102"/>
    <n v="84"/>
    <n v="0.58741258741258739"/>
    <n v="16"/>
    <n v="0.11188811188811189"/>
    <n v="14"/>
    <n v="9.7902097902097904E-2"/>
    <n v="25"/>
    <n v="0.17482517482517482"/>
    <n v="0.82517482517482521"/>
  </r>
  <r>
    <x v="3"/>
    <s v="general"/>
    <x v="1"/>
    <n v="17"/>
    <n v="11"/>
    <n v="6"/>
    <n v="0.6470588235294118"/>
    <n v="88"/>
    <n v="75"/>
    <n v="74"/>
    <n v="1"/>
    <m/>
    <n v="0.98666666666666669"/>
    <n v="66"/>
    <n v="0.89189189189189189"/>
    <n v="12"/>
    <n v="0.16216216216216217"/>
    <n v="8"/>
    <n v="0.10810810810810811"/>
    <n v="11"/>
    <n v="0.14864864864864866"/>
    <n v="0.85135135135135132"/>
  </r>
  <r>
    <x v="3"/>
    <s v="general"/>
    <x v="2"/>
    <n v="18"/>
    <n v="18"/>
    <n v="0"/>
    <n v="1"/>
    <n v="144"/>
    <n v="83"/>
    <n v="83"/>
    <n v="0"/>
    <m/>
    <n v="1"/>
    <n v="71"/>
    <n v="0.85542168674698793"/>
    <n v="12"/>
    <n v="0.14457831325301204"/>
    <n v="7"/>
    <n v="8.4337349397590355E-2"/>
    <n v="16"/>
    <n v="0.19277108433734941"/>
    <n v="0.80722891566265065"/>
  </r>
  <r>
    <x v="3"/>
    <s v="general"/>
    <x v="3"/>
    <n v="18"/>
    <n v="16"/>
    <n v="2"/>
    <n v="0.88888888888888884"/>
    <n v="128"/>
    <n v="82"/>
    <n v="79"/>
    <n v="3"/>
    <m/>
    <n v="0.96341463414634143"/>
    <n v="81"/>
    <n v="1.0253164556962024"/>
    <n v="21"/>
    <n v="0.26582278481012656"/>
    <n v="3"/>
    <n v="3.7974683544303799E-2"/>
    <n v="11"/>
    <n v="0.13924050632911392"/>
    <n v="0.86075949367088611"/>
  </r>
  <r>
    <x v="3"/>
    <s v="internista"/>
    <x v="8"/>
    <n v="18"/>
    <n v="15"/>
    <n v="3"/>
    <n v="0.83333333333333337"/>
    <n v="90"/>
    <n v="93"/>
    <n v="93"/>
    <n v="0"/>
    <m/>
    <n v="1"/>
    <n v="92"/>
    <n v="0.989247311827957"/>
    <n v="42"/>
    <n v="0.45161290322580644"/>
    <n v="36"/>
    <n v="0.38709677419354838"/>
    <n v="18"/>
    <n v="0.19354838709677419"/>
    <n v="0.80645161290322576"/>
  </r>
  <r>
    <x v="3"/>
    <s v="odontologo"/>
    <x v="4"/>
    <n v="18"/>
    <n v="17"/>
    <n v="1"/>
    <n v="0.94444444444444442"/>
    <n v="272"/>
    <n v="79"/>
    <n v="78"/>
    <n v="1"/>
    <m/>
    <n v="0.98734177215189878"/>
    <n v="3"/>
    <n v="3.8461538461538464E-2"/>
    <n v="0"/>
    <n v="0"/>
    <n v="12"/>
    <n v="0.15384615384615385"/>
    <n v="2"/>
    <n v="2.564102564102564E-2"/>
    <n v="0.97435897435897434"/>
  </r>
  <r>
    <x v="3"/>
    <s v="odontologo"/>
    <x v="5"/>
    <n v="16"/>
    <n v="16"/>
    <n v="0"/>
    <n v="1"/>
    <n v="128"/>
    <n v="33"/>
    <n v="33"/>
    <n v="0"/>
    <m/>
    <n v="1"/>
    <n v="0"/>
    <n v="0"/>
    <n v="0"/>
    <n v="0"/>
    <n v="6"/>
    <n v="0.18181818181818182"/>
    <n v="3"/>
    <n v="9.0909090909090912E-2"/>
    <n v="0.90909090909090906"/>
  </r>
  <r>
    <x v="3"/>
    <s v="odontologo"/>
    <x v="7"/>
    <n v="18"/>
    <n v="15"/>
    <n v="3"/>
    <n v="0.83333333333333337"/>
    <n v="120"/>
    <n v="28"/>
    <n v="28"/>
    <n v="0"/>
    <m/>
    <n v="1"/>
    <n v="1"/>
    <n v="3.5714285714285712E-2"/>
    <n v="0"/>
    <n v="0"/>
    <n v="4"/>
    <n v="0.14285714285714285"/>
    <n v="4"/>
    <n v="0.14285714285714285"/>
    <n v="0.85714285714285721"/>
  </r>
  <r>
    <x v="3"/>
    <s v="psicologa"/>
    <x v="6"/>
    <n v="17"/>
    <n v="14"/>
    <n v="3"/>
    <n v="0.82352941176470584"/>
    <n v="112"/>
    <n v="37"/>
    <n v="35"/>
    <n v="2"/>
    <m/>
    <n v="0.94594594594594594"/>
    <n v="0"/>
    <n v="0"/>
    <n v="0"/>
    <n v="0"/>
    <n v="0"/>
    <n v="0"/>
    <n v="0"/>
    <n v="0"/>
    <n v="1"/>
  </r>
  <r>
    <x v="4"/>
    <m/>
    <x v="9"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1E7B7E-CA9F-465C-B9CA-2A2FFF91B95F}" name="TablaDinámica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F18:G23" firstHeaderRow="1" firstDataRow="1" firstDataCol="1"/>
  <pivotFields count="22">
    <pivotField axis="axisRow" showAll="0">
      <items count="6">
        <item x="0"/>
        <item x="1"/>
        <item x="2"/>
        <item x="3"/>
        <item h="1" x="4"/>
        <item t="default"/>
      </items>
    </pivotField>
    <pivotField showAll="0"/>
    <pivotField showAll="0">
      <items count="11">
        <item h="1" x="5"/>
        <item h="1" x="4"/>
        <item x="0"/>
        <item h="1" x="6"/>
        <item h="1" x="1"/>
        <item h="1" x="2"/>
        <item h="1" x="8"/>
        <item h="1" x="7"/>
        <item h="1" x="3"/>
        <item h="1" x="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% Cumplimiento" fld="6" baseField="0" baseItem="0"/>
  </dataFields>
  <chartFormats count="1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3473CF-27CE-4690-9F1E-A43D9330F8B0}" name="TablaDiná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F11:I16" firstHeaderRow="0" firstDataRow="1" firstDataCol="1"/>
  <pivotFields count="22">
    <pivotField axis="axisRow" showAll="0">
      <items count="6">
        <item x="0"/>
        <item x="1"/>
        <item x="2"/>
        <item x="3"/>
        <item h="1" x="4"/>
        <item t="default"/>
      </items>
    </pivotField>
    <pivotField showAll="0"/>
    <pivotField showAll="0">
      <items count="11">
        <item h="1" x="5"/>
        <item h="1" x="4"/>
        <item x="0"/>
        <item h="1" x="6"/>
        <item h="1" x="1"/>
        <item h="1" x="2"/>
        <item h="1" x="8"/>
        <item h="1" x="7"/>
        <item h="1" x="3"/>
        <item h="1"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% formulas" fld="14" baseField="0" baseItem="0"/>
    <dataField name="Suma de % laboratorios" fld="16" baseField="0" baseItem="0"/>
    <dataField name="Suma de %Ayudas Diagnosticas" fld="18" baseField="0" baseItem="0"/>
  </dataFields>
  <chartFormats count="5">
    <chartFormat chart="6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6" format="24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6" format="2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E442F7-39EA-4DAC-85E9-0D554B59BD1E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:L8" firstHeaderRow="0" firstDataRow="1" firstDataCol="1" rowPageCount="1" colPageCount="1"/>
  <pivotFields count="22">
    <pivotField axis="axisRow" showAll="0">
      <items count="6">
        <item x="0"/>
        <item x="1"/>
        <item x="2"/>
        <item x="3"/>
        <item h="1" x="4"/>
        <item t="default"/>
      </items>
    </pivotField>
    <pivotField showAll="0"/>
    <pivotField axis="axisPage" showAll="0">
      <items count="11">
        <item x="5"/>
        <item x="4"/>
        <item x="0"/>
        <item x="6"/>
        <item x="1"/>
        <item x="2"/>
        <item x="8"/>
        <item x="7"/>
        <item x="3"/>
        <item x="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2" item="2" hier="-1"/>
  </pageFields>
  <dataFields count="7">
    <dataField name="Suma de Total  de resolutividad" fld="21" baseField="0" baseItem="0"/>
    <dataField name="Suma de % De remisiones" fld="20" baseField="0" baseItem="0"/>
    <dataField name="Suma de % Cumplimiento" fld="6" baseField="0" baseItem="0"/>
    <dataField name="Suma de %Ayudas Diagnosticas" fld="18" baseField="0" baseItem="0"/>
    <dataField name="Suma de % laboratorios" fld="16" baseField="0" baseItem="0"/>
    <dataField name="Suma de % formulas" fld="14" baseField="0" baseItem="0"/>
    <dataField name="Suma de % Rendimiento" fld="12" baseField="0" baseItem="0"/>
  </dataFields>
  <formats count="2">
    <format dxfId="1">
      <pivotArea collapsedLevelsAreSubtotals="1" fieldPosition="0">
        <references count="2">
          <reference field="4294967294" count="1" selected="0">
            <x v="2"/>
          </reference>
          <reference field="0" count="0"/>
        </references>
      </pivotArea>
    </format>
    <format dxfId="0">
      <pivotArea collapsedLevelsAreSubtotals="1" fieldPosition="0">
        <references count="2">
          <reference field="4294967294" count="1" selected="0">
            <x v="3"/>
          </reference>
          <reference field="0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98F489-BE3A-43ED-960C-7BA2B41DFF28}" name="TablaDinámica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G26:I31" firstHeaderRow="0" firstDataRow="1" firstDataCol="1"/>
  <pivotFields count="22">
    <pivotField axis="axisRow" showAll="0">
      <items count="6">
        <item x="0"/>
        <item x="1"/>
        <item x="2"/>
        <item x="3"/>
        <item h="1" x="4"/>
        <item t="default"/>
      </items>
    </pivotField>
    <pivotField showAll="0"/>
    <pivotField showAll="0">
      <items count="11">
        <item h="1" x="5"/>
        <item h="1" x="4"/>
        <item x="0"/>
        <item h="1" x="6"/>
        <item h="1" x="1"/>
        <item h="1" x="2"/>
        <item h="1" x="8"/>
        <item h="1" x="7"/>
        <item h="1" x="3"/>
        <item h="1"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% De remisiones" fld="20" baseField="0" baseItem="0"/>
    <dataField name="Suma de Total  de resolutividad" fld="21" baseField="0" baseItem="0"/>
  </dataFields>
  <formats count="3">
    <format dxfId="4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3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3E3D3-8E4C-4B20-B961-BB4621992C8B}" name="TablaDinámica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I18:J23" firstHeaderRow="1" firstDataRow="1" firstDataCol="1"/>
  <pivotFields count="22">
    <pivotField axis="axisRow" showAll="0">
      <items count="6">
        <item x="0"/>
        <item x="1"/>
        <item x="2"/>
        <item x="3"/>
        <item h="1" x="4"/>
        <item t="default"/>
      </items>
    </pivotField>
    <pivotField showAll="0"/>
    <pivotField showAll="0">
      <items count="11">
        <item h="1" x="5"/>
        <item h="1" x="4"/>
        <item x="0"/>
        <item h="1" x="6"/>
        <item h="1" x="1"/>
        <item h="1" x="2"/>
        <item h="1" x="8"/>
        <item h="1" x="7"/>
        <item h="1" x="3"/>
        <item h="1"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% Rendimiento" fld="12" baseField="0" baseItem="0"/>
  </dataFields>
  <chartFormats count="1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72A63C42-15BB-4A12-A1EA-C5F3F779CDFE}" sourceName="mes">
  <pivotTables>
    <pivotTable tabId="13" name="TablaDinámica4"/>
    <pivotTable tabId="13" name="TablaDinámica5"/>
    <pivotTable tabId="13" name="TablaDinámica6"/>
    <pivotTable tabId="13" name="TablaDinámica7"/>
    <pivotTable tabId="13" name="TablaDinámica8"/>
  </pivotTables>
  <data>
    <tabular pivotCacheId="794290274">
      <items count="5">
        <i x="0" s="1"/>
        <i x="1" s="1"/>
        <i x="2" s="1"/>
        <i x="3" s="1"/>
        <i x="4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DEL_MEDICO" xr10:uid="{720FF51C-7260-4AE1-99AE-52C97B548290}" sourceName="NOMBRE DEL MEDICO">
  <pivotTables>
    <pivotTable tabId="13" name="TablaDinámica4"/>
    <pivotTable tabId="13" name="TablaDinámica5"/>
    <pivotTable tabId="13" name="TablaDinámica6"/>
    <pivotTable tabId="13" name="TablaDinámica7"/>
    <pivotTable tabId="13" name="TablaDinámica8"/>
  </pivotTables>
  <data>
    <tabular pivotCacheId="794290274">
      <items count="10">
        <i x="5"/>
        <i x="4"/>
        <i x="0" s="1"/>
        <i x="6"/>
        <i x="1"/>
        <i x="2"/>
        <i x="8"/>
        <i x="7"/>
        <i x="3"/>
        <i x="9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 2" xr10:uid="{EC7163DC-490D-407F-B80C-6B18EC4B0934}" cache="SegmentaciónDeDatos_mes" caption="mes" rowHeight="241300"/>
  <slicer name="NOMBRE DEL MEDICO 2" xr10:uid="{AC69DFE9-C68B-413E-B34C-AE9CD6302DAF}" cache="SegmentaciónDeDatos_NOMBRE_DEL_MEDICO" caption="NOMBRE DEL MEDICO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 3" xr10:uid="{A3EFF60B-5435-4DCE-B3CD-C2A230488078}" cache="SegmentaciónDeDatos_mes" caption="mes" startItem="1" rowHeight="241300"/>
  <slicer name="NOMBRE DEL MEDICO 3" xr10:uid="{4237288A-03E1-48B1-B7BE-CD07C0FBC639}" cache="SegmentaciónDeDatos_NOMBRE_DEL_MEDICO" caption="NOMBRE DEL MEDICO" startItem="1" rowHeight="24130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FD4F9-2910-4648-84AF-C941CDDEB3D5}">
  <dimension ref="A1:V79"/>
  <sheetViews>
    <sheetView tabSelected="1" topLeftCell="A34" zoomScale="85" zoomScaleNormal="85" workbookViewId="0">
      <selection activeCell="G2" sqref="G2:G79"/>
    </sheetView>
  </sheetViews>
  <sheetFormatPr baseColWidth="10" defaultRowHeight="15" x14ac:dyDescent="0.25"/>
  <cols>
    <col min="7" max="7" width="11.42578125" style="60"/>
    <col min="13" max="13" width="11.42578125" style="60"/>
    <col min="15" max="15" width="11.42578125" style="61"/>
    <col min="17" max="17" width="11.42578125" style="61"/>
    <col min="19" max="19" width="11.42578125" style="60"/>
  </cols>
  <sheetData>
    <row r="1" spans="1:22" ht="46.5" thickTop="1" thickBot="1" x14ac:dyDescent="0.3">
      <c r="A1" t="s">
        <v>0</v>
      </c>
      <c r="B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63" t="s">
        <v>6</v>
      </c>
      <c r="H1" s="2" t="s">
        <v>7</v>
      </c>
      <c r="I1" s="4" t="s">
        <v>8</v>
      </c>
      <c r="J1" s="4" t="s">
        <v>9</v>
      </c>
      <c r="K1" s="93" t="s">
        <v>10</v>
      </c>
      <c r="L1" s="94"/>
      <c r="M1" s="63" t="s">
        <v>11</v>
      </c>
      <c r="N1" s="2" t="s">
        <v>12</v>
      </c>
      <c r="O1" s="62" t="s">
        <v>13</v>
      </c>
      <c r="P1" s="4" t="s">
        <v>14</v>
      </c>
      <c r="Q1" s="62" t="s">
        <v>15</v>
      </c>
      <c r="R1" s="4" t="s">
        <v>16</v>
      </c>
      <c r="S1" s="63" t="s">
        <v>17</v>
      </c>
      <c r="T1" s="2" t="s">
        <v>18</v>
      </c>
      <c r="U1" s="6" t="s">
        <v>19</v>
      </c>
      <c r="V1" s="5" t="s">
        <v>20</v>
      </c>
    </row>
    <row r="2" spans="1:22" ht="60.75" thickBot="1" x14ac:dyDescent="0.3">
      <c r="A2" s="7" t="s">
        <v>21</v>
      </c>
      <c r="B2" t="s">
        <v>22</v>
      </c>
      <c r="C2" s="8" t="s">
        <v>23</v>
      </c>
      <c r="D2" s="9">
        <v>10</v>
      </c>
      <c r="E2" s="10">
        <v>9</v>
      </c>
      <c r="F2" s="11">
        <f>D2-E2</f>
        <v>1</v>
      </c>
      <c r="G2" s="64">
        <f>E2/D2</f>
        <v>0.9</v>
      </c>
      <c r="H2" s="9">
        <f>E2*4*3</f>
        <v>108</v>
      </c>
      <c r="I2" s="11">
        <f>SUM(K2:L2,J2)</f>
        <v>81</v>
      </c>
      <c r="J2" s="11">
        <v>70</v>
      </c>
      <c r="K2" s="75">
        <v>11</v>
      </c>
      <c r="L2" s="76"/>
      <c r="M2" s="64">
        <f>J2/I2</f>
        <v>0.86419753086419748</v>
      </c>
      <c r="N2" s="12">
        <v>48</v>
      </c>
      <c r="O2" s="66">
        <f>N2/J2</f>
        <v>0.68571428571428572</v>
      </c>
      <c r="P2" s="11">
        <v>13</v>
      </c>
      <c r="Q2" s="66">
        <f>P2/J2</f>
        <v>0.18571428571428572</v>
      </c>
      <c r="R2" s="11">
        <v>9</v>
      </c>
      <c r="S2" s="67">
        <f>R2/J2</f>
        <v>0.12857142857142856</v>
      </c>
      <c r="T2" s="9">
        <v>7</v>
      </c>
      <c r="U2" s="66">
        <f>T2/J2</f>
        <v>0.1</v>
      </c>
      <c r="V2" s="68">
        <f>(1-(T2/J2))</f>
        <v>0.9</v>
      </c>
    </row>
    <row r="3" spans="1:22" ht="45.75" thickBot="1" x14ac:dyDescent="0.3">
      <c r="A3" s="7" t="s">
        <v>21</v>
      </c>
      <c r="B3" t="s">
        <v>22</v>
      </c>
      <c r="C3" s="13" t="s">
        <v>24</v>
      </c>
      <c r="D3" s="14">
        <v>10</v>
      </c>
      <c r="E3" s="15">
        <v>8</v>
      </c>
      <c r="F3" s="11">
        <f t="shared" ref="F3:F5" si="0">D3-E3</f>
        <v>2</v>
      </c>
      <c r="G3" s="64">
        <f t="shared" ref="G3:G66" si="1">E3/D3</f>
        <v>0.8</v>
      </c>
      <c r="H3" s="14">
        <f>E3*4*2</f>
        <v>64</v>
      </c>
      <c r="I3" s="11">
        <f t="shared" ref="I3:I4" si="2">SUM(K3:L3,J3)</f>
        <v>68</v>
      </c>
      <c r="J3" s="16">
        <v>60</v>
      </c>
      <c r="K3" s="87">
        <v>8</v>
      </c>
      <c r="L3" s="88"/>
      <c r="M3" s="64">
        <f t="shared" ref="M3:M66" si="3">J3/I3</f>
        <v>0.88235294117647056</v>
      </c>
      <c r="N3" s="17">
        <v>55</v>
      </c>
      <c r="O3" s="66">
        <f t="shared" ref="O3:O66" si="4">N3/J3</f>
        <v>0.91666666666666663</v>
      </c>
      <c r="P3" s="16">
        <v>4</v>
      </c>
      <c r="Q3" s="66">
        <f t="shared" ref="Q3:Q66" si="5">P3/J3</f>
        <v>6.6666666666666666E-2</v>
      </c>
      <c r="R3" s="16">
        <v>2</v>
      </c>
      <c r="S3" s="67">
        <f t="shared" ref="S3:S66" si="6">R3/J3</f>
        <v>3.3333333333333333E-2</v>
      </c>
      <c r="T3" s="14">
        <v>7</v>
      </c>
      <c r="U3" s="66">
        <f t="shared" ref="U3:U66" si="7">T3/J3</f>
        <v>0.11666666666666667</v>
      </c>
      <c r="V3" s="68">
        <f t="shared" ref="V3:V66" si="8">(1-(T3/J3))</f>
        <v>0.8833333333333333</v>
      </c>
    </row>
    <row r="4" spans="1:22" ht="60.75" thickBot="1" x14ac:dyDescent="0.3">
      <c r="A4" s="7" t="s">
        <v>21</v>
      </c>
      <c r="B4" t="s">
        <v>22</v>
      </c>
      <c r="C4" s="8" t="s">
        <v>25</v>
      </c>
      <c r="D4" s="9">
        <v>10</v>
      </c>
      <c r="E4" s="10">
        <v>10</v>
      </c>
      <c r="F4" s="11">
        <f t="shared" si="0"/>
        <v>0</v>
      </c>
      <c r="G4" s="64">
        <f t="shared" si="1"/>
        <v>1</v>
      </c>
      <c r="H4" s="9">
        <f>E4*4*2</f>
        <v>80</v>
      </c>
      <c r="I4" s="11">
        <f t="shared" si="2"/>
        <v>60</v>
      </c>
      <c r="J4" s="11">
        <v>50</v>
      </c>
      <c r="K4" s="83">
        <v>10</v>
      </c>
      <c r="L4" s="84"/>
      <c r="M4" s="64">
        <f t="shared" si="3"/>
        <v>0.83333333333333337</v>
      </c>
      <c r="N4" s="12">
        <v>55</v>
      </c>
      <c r="O4" s="66">
        <f t="shared" si="4"/>
        <v>1.1000000000000001</v>
      </c>
      <c r="P4" s="11">
        <v>0</v>
      </c>
      <c r="Q4" s="66">
        <f t="shared" si="5"/>
        <v>0</v>
      </c>
      <c r="R4" s="11">
        <v>6</v>
      </c>
      <c r="S4" s="67">
        <f t="shared" si="6"/>
        <v>0.12</v>
      </c>
      <c r="T4" s="9">
        <v>4</v>
      </c>
      <c r="U4" s="66">
        <f t="shared" si="7"/>
        <v>0.08</v>
      </c>
      <c r="V4" s="68">
        <f t="shared" si="8"/>
        <v>0.92</v>
      </c>
    </row>
    <row r="5" spans="1:22" ht="60.75" thickBot="1" x14ac:dyDescent="0.3">
      <c r="A5" s="7" t="s">
        <v>21</v>
      </c>
      <c r="B5" t="s">
        <v>22</v>
      </c>
      <c r="C5" s="8" t="s">
        <v>26</v>
      </c>
      <c r="D5" s="9">
        <v>10</v>
      </c>
      <c r="E5" s="10">
        <v>3</v>
      </c>
      <c r="F5" s="11">
        <f t="shared" si="0"/>
        <v>7</v>
      </c>
      <c r="G5" s="64">
        <f t="shared" si="1"/>
        <v>0.3</v>
      </c>
      <c r="H5" s="9">
        <f>E5*4*2</f>
        <v>24</v>
      </c>
      <c r="I5" s="11">
        <f>SUM(K5:L5,J5)</f>
        <v>21</v>
      </c>
      <c r="J5" s="11">
        <v>18</v>
      </c>
      <c r="K5" s="83">
        <v>3</v>
      </c>
      <c r="L5" s="84"/>
      <c r="M5" s="64">
        <f t="shared" si="3"/>
        <v>0.8571428571428571</v>
      </c>
      <c r="N5" s="12">
        <v>21</v>
      </c>
      <c r="O5" s="66">
        <f t="shared" si="4"/>
        <v>1.1666666666666667</v>
      </c>
      <c r="P5" s="11">
        <v>0</v>
      </c>
      <c r="Q5" s="66">
        <f t="shared" si="5"/>
        <v>0</v>
      </c>
      <c r="R5" s="11">
        <v>2</v>
      </c>
      <c r="S5" s="67">
        <f t="shared" si="6"/>
        <v>0.1111111111111111</v>
      </c>
      <c r="T5" s="9">
        <v>1</v>
      </c>
      <c r="U5" s="66">
        <f t="shared" si="7"/>
        <v>5.5555555555555552E-2</v>
      </c>
      <c r="V5" s="68">
        <f t="shared" si="8"/>
        <v>0.94444444444444442</v>
      </c>
    </row>
    <row r="6" spans="1:22" ht="16.5" thickTop="1" thickBot="1" x14ac:dyDescent="0.3">
      <c r="A6" s="7" t="s">
        <v>21</v>
      </c>
      <c r="B6" t="s">
        <v>27</v>
      </c>
      <c r="C6" s="13" t="s">
        <v>28</v>
      </c>
      <c r="D6" s="18">
        <v>10</v>
      </c>
      <c r="E6" s="19">
        <v>8</v>
      </c>
      <c r="F6" s="20">
        <f>D6-E6</f>
        <v>2</v>
      </c>
      <c r="G6" s="64">
        <f t="shared" si="1"/>
        <v>0.8</v>
      </c>
      <c r="H6" s="18">
        <f>E6*8*2</f>
        <v>128</v>
      </c>
      <c r="I6" s="20">
        <f>SUM(J6:L6)</f>
        <v>55</v>
      </c>
      <c r="J6" s="20">
        <v>44</v>
      </c>
      <c r="K6" s="85">
        <v>11</v>
      </c>
      <c r="L6" s="86"/>
      <c r="M6" s="64">
        <f t="shared" si="3"/>
        <v>0.8</v>
      </c>
      <c r="N6" s="21">
        <v>1</v>
      </c>
      <c r="O6" s="66">
        <f t="shared" si="4"/>
        <v>2.2727272727272728E-2</v>
      </c>
      <c r="P6" s="20">
        <v>0</v>
      </c>
      <c r="Q6" s="66">
        <f t="shared" si="5"/>
        <v>0</v>
      </c>
      <c r="R6" s="20">
        <v>8</v>
      </c>
      <c r="S6" s="67">
        <f t="shared" si="6"/>
        <v>0.18181818181818182</v>
      </c>
      <c r="T6" s="18">
        <v>5</v>
      </c>
      <c r="U6" s="66">
        <f t="shared" si="7"/>
        <v>0.11363636363636363</v>
      </c>
      <c r="V6" s="68">
        <f t="shared" si="8"/>
        <v>0.88636363636363635</v>
      </c>
    </row>
    <row r="7" spans="1:22" ht="31.5" thickTop="1" thickBot="1" x14ac:dyDescent="0.3">
      <c r="A7" s="7" t="s">
        <v>21</v>
      </c>
      <c r="B7" t="s">
        <v>27</v>
      </c>
      <c r="C7" s="22" t="s">
        <v>29</v>
      </c>
      <c r="D7" s="14">
        <v>5</v>
      </c>
      <c r="E7" s="15">
        <v>3</v>
      </c>
      <c r="F7" s="20">
        <f t="shared" ref="F7" si="9">D7-E7</f>
        <v>2</v>
      </c>
      <c r="G7" s="64">
        <f t="shared" si="1"/>
        <v>0.6</v>
      </c>
      <c r="H7" s="14">
        <f>E7*4*2</f>
        <v>24</v>
      </c>
      <c r="I7" s="20">
        <f t="shared" ref="I7" si="10">SUM(J7:L7)</f>
        <v>11</v>
      </c>
      <c r="J7" s="16">
        <v>10</v>
      </c>
      <c r="K7" s="87">
        <v>1</v>
      </c>
      <c r="L7" s="88"/>
      <c r="M7" s="64">
        <f t="shared" si="3"/>
        <v>0.90909090909090906</v>
      </c>
      <c r="N7" s="17">
        <v>0</v>
      </c>
      <c r="O7" s="66">
        <f t="shared" si="4"/>
        <v>0</v>
      </c>
      <c r="P7" s="16">
        <v>0</v>
      </c>
      <c r="Q7" s="66">
        <f t="shared" si="5"/>
        <v>0</v>
      </c>
      <c r="R7" s="16">
        <v>2</v>
      </c>
      <c r="S7" s="67">
        <f t="shared" si="6"/>
        <v>0.2</v>
      </c>
      <c r="T7" s="14">
        <v>1</v>
      </c>
      <c r="U7" s="66">
        <f t="shared" si="7"/>
        <v>0.1</v>
      </c>
      <c r="V7" s="68">
        <f t="shared" si="8"/>
        <v>0.9</v>
      </c>
    </row>
    <row r="8" spans="1:22" ht="46.5" thickTop="1" thickBot="1" x14ac:dyDescent="0.3">
      <c r="A8" s="7" t="s">
        <v>21</v>
      </c>
      <c r="B8" s="7" t="s">
        <v>30</v>
      </c>
      <c r="C8" s="23" t="s">
        <v>31</v>
      </c>
      <c r="D8" s="24">
        <v>8</v>
      </c>
      <c r="E8" s="25">
        <v>3</v>
      </c>
      <c r="F8" s="26">
        <f>D8-E8</f>
        <v>5</v>
      </c>
      <c r="G8" s="64">
        <f t="shared" si="1"/>
        <v>0.375</v>
      </c>
      <c r="H8" s="24">
        <f>E8*4*2</f>
        <v>24</v>
      </c>
      <c r="I8" s="26">
        <f>SUM(J8:L8)</f>
        <v>9</v>
      </c>
      <c r="J8" s="27">
        <v>8</v>
      </c>
      <c r="K8" s="95">
        <v>1</v>
      </c>
      <c r="L8" s="96"/>
      <c r="M8" s="64">
        <f t="shared" si="3"/>
        <v>0.88888888888888884</v>
      </c>
      <c r="N8" s="28">
        <v>0</v>
      </c>
      <c r="O8" s="66">
        <f t="shared" si="4"/>
        <v>0</v>
      </c>
      <c r="P8" s="27">
        <v>0</v>
      </c>
      <c r="Q8" s="66">
        <f t="shared" si="5"/>
        <v>0</v>
      </c>
      <c r="R8" s="27">
        <v>0</v>
      </c>
      <c r="S8" s="67">
        <f t="shared" si="6"/>
        <v>0</v>
      </c>
      <c r="T8" s="29">
        <v>0</v>
      </c>
      <c r="U8" s="66">
        <f t="shared" si="7"/>
        <v>0</v>
      </c>
      <c r="V8" s="68">
        <f t="shared" si="8"/>
        <v>1</v>
      </c>
    </row>
    <row r="9" spans="1:22" ht="60.75" thickBot="1" x14ac:dyDescent="0.3">
      <c r="A9" s="30" t="s">
        <v>32</v>
      </c>
      <c r="B9" t="s">
        <v>22</v>
      </c>
      <c r="C9" s="8" t="s">
        <v>23</v>
      </c>
      <c r="D9" s="9">
        <v>20</v>
      </c>
      <c r="E9" s="10">
        <v>19</v>
      </c>
      <c r="F9" s="11">
        <f>D9-E9</f>
        <v>1</v>
      </c>
      <c r="G9" s="64">
        <f t="shared" si="1"/>
        <v>0.95</v>
      </c>
      <c r="H9" s="9">
        <f>E9*4*3</f>
        <v>228</v>
      </c>
      <c r="I9" s="11">
        <f>SUM(K9:L9,J9)</f>
        <v>143</v>
      </c>
      <c r="J9" s="11">
        <v>139</v>
      </c>
      <c r="K9" s="75">
        <v>4</v>
      </c>
      <c r="L9" s="76"/>
      <c r="M9" s="64">
        <f t="shared" si="3"/>
        <v>0.97202797202797198</v>
      </c>
      <c r="N9" s="12">
        <v>96</v>
      </c>
      <c r="O9" s="66">
        <f t="shared" si="4"/>
        <v>0.69064748201438853</v>
      </c>
      <c r="P9" s="11">
        <v>1</v>
      </c>
      <c r="Q9" s="66">
        <f t="shared" si="5"/>
        <v>7.1942446043165471E-3</v>
      </c>
      <c r="R9" s="11">
        <v>17</v>
      </c>
      <c r="S9" s="67">
        <f t="shared" si="6"/>
        <v>0.1223021582733813</v>
      </c>
      <c r="T9" s="9">
        <v>21</v>
      </c>
      <c r="U9" s="66">
        <f t="shared" si="7"/>
        <v>0.15107913669064749</v>
      </c>
      <c r="V9" s="68">
        <f t="shared" si="8"/>
        <v>0.84892086330935257</v>
      </c>
    </row>
    <row r="10" spans="1:22" ht="45.75" thickBot="1" x14ac:dyDescent="0.3">
      <c r="A10" s="30" t="s">
        <v>32</v>
      </c>
      <c r="B10" t="s">
        <v>22</v>
      </c>
      <c r="C10" s="13" t="s">
        <v>24</v>
      </c>
      <c r="D10" s="14">
        <v>20</v>
      </c>
      <c r="E10" s="15">
        <v>17</v>
      </c>
      <c r="F10" s="11">
        <f t="shared" ref="F10:F12" si="11">D10-E10</f>
        <v>3</v>
      </c>
      <c r="G10" s="64">
        <f t="shared" si="1"/>
        <v>0.85</v>
      </c>
      <c r="H10" s="14">
        <f>E10*4*2</f>
        <v>136</v>
      </c>
      <c r="I10" s="11">
        <f t="shared" ref="I10:I11" si="12">SUM(K10:L10,J10)</f>
        <v>114</v>
      </c>
      <c r="J10" s="16">
        <v>112</v>
      </c>
      <c r="K10" s="87">
        <v>2</v>
      </c>
      <c r="L10" s="88"/>
      <c r="M10" s="64">
        <f t="shared" si="3"/>
        <v>0.98245614035087714</v>
      </c>
      <c r="N10" s="17">
        <v>107</v>
      </c>
      <c r="O10" s="66">
        <f t="shared" si="4"/>
        <v>0.9553571428571429</v>
      </c>
      <c r="P10" s="16">
        <v>37</v>
      </c>
      <c r="Q10" s="66">
        <f t="shared" si="5"/>
        <v>0.33035714285714285</v>
      </c>
      <c r="R10" s="16">
        <v>17</v>
      </c>
      <c r="S10" s="67">
        <f t="shared" si="6"/>
        <v>0.15178571428571427</v>
      </c>
      <c r="T10" s="14">
        <v>23</v>
      </c>
      <c r="U10" s="66">
        <f t="shared" si="7"/>
        <v>0.20535714285714285</v>
      </c>
      <c r="V10" s="68">
        <f t="shared" si="8"/>
        <v>0.79464285714285721</v>
      </c>
    </row>
    <row r="11" spans="1:22" ht="60.75" thickBot="1" x14ac:dyDescent="0.3">
      <c r="A11" s="30" t="s">
        <v>32</v>
      </c>
      <c r="B11" t="s">
        <v>22</v>
      </c>
      <c r="C11" s="8" t="s">
        <v>25</v>
      </c>
      <c r="D11" s="9">
        <v>20</v>
      </c>
      <c r="E11" s="10">
        <v>16</v>
      </c>
      <c r="F11" s="11">
        <f t="shared" si="11"/>
        <v>4</v>
      </c>
      <c r="G11" s="64">
        <f t="shared" si="1"/>
        <v>0.8</v>
      </c>
      <c r="H11" s="9">
        <f>E11*4*2</f>
        <v>128</v>
      </c>
      <c r="I11" s="11">
        <f t="shared" si="12"/>
        <v>78</v>
      </c>
      <c r="J11" s="11">
        <v>77</v>
      </c>
      <c r="K11" s="83">
        <v>1</v>
      </c>
      <c r="L11" s="84"/>
      <c r="M11" s="64">
        <f t="shared" si="3"/>
        <v>0.98717948717948723</v>
      </c>
      <c r="N11" s="12">
        <v>68</v>
      </c>
      <c r="O11" s="66">
        <f t="shared" si="4"/>
        <v>0.88311688311688308</v>
      </c>
      <c r="P11" s="11">
        <v>22</v>
      </c>
      <c r="Q11" s="66">
        <f t="shared" si="5"/>
        <v>0.2857142857142857</v>
      </c>
      <c r="R11" s="11">
        <v>8</v>
      </c>
      <c r="S11" s="67">
        <f t="shared" si="6"/>
        <v>0.1038961038961039</v>
      </c>
      <c r="T11" s="9">
        <v>11</v>
      </c>
      <c r="U11" s="66">
        <f t="shared" si="7"/>
        <v>0.14285714285714285</v>
      </c>
      <c r="V11" s="68">
        <f t="shared" si="8"/>
        <v>0.85714285714285721</v>
      </c>
    </row>
    <row r="12" spans="1:22" ht="60.75" thickBot="1" x14ac:dyDescent="0.3">
      <c r="A12" s="30" t="s">
        <v>32</v>
      </c>
      <c r="B12" t="s">
        <v>22</v>
      </c>
      <c r="C12" s="8" t="s">
        <v>26</v>
      </c>
      <c r="D12" s="9">
        <v>20</v>
      </c>
      <c r="E12" s="10">
        <v>13</v>
      </c>
      <c r="F12" s="11">
        <f t="shared" si="11"/>
        <v>7</v>
      </c>
      <c r="G12" s="64">
        <f t="shared" si="1"/>
        <v>0.65</v>
      </c>
      <c r="H12" s="9">
        <f>E12*4*2</f>
        <v>104</v>
      </c>
      <c r="I12" s="11">
        <f>SUM(K12:L12,J12)</f>
        <v>65</v>
      </c>
      <c r="J12" s="11">
        <v>61</v>
      </c>
      <c r="K12" s="83">
        <v>4</v>
      </c>
      <c r="L12" s="84"/>
      <c r="M12" s="64">
        <f t="shared" si="3"/>
        <v>0.93846153846153846</v>
      </c>
      <c r="N12" s="12">
        <v>57</v>
      </c>
      <c r="O12" s="66">
        <f t="shared" si="4"/>
        <v>0.93442622950819676</v>
      </c>
      <c r="P12" s="11">
        <v>14</v>
      </c>
      <c r="Q12" s="66">
        <f t="shared" si="5"/>
        <v>0.22950819672131148</v>
      </c>
      <c r="R12" s="11">
        <v>1</v>
      </c>
      <c r="S12" s="67">
        <f t="shared" si="6"/>
        <v>1.6393442622950821E-2</v>
      </c>
      <c r="T12" s="9">
        <v>16</v>
      </c>
      <c r="U12" s="66">
        <f t="shared" si="7"/>
        <v>0.26229508196721313</v>
      </c>
      <c r="V12" s="68">
        <f t="shared" si="8"/>
        <v>0.73770491803278682</v>
      </c>
    </row>
    <row r="13" spans="1:22" ht="16.5" thickTop="1" thickBot="1" x14ac:dyDescent="0.3">
      <c r="A13" s="30" t="s">
        <v>32</v>
      </c>
      <c r="B13" t="s">
        <v>27</v>
      </c>
      <c r="C13" s="13" t="s">
        <v>28</v>
      </c>
      <c r="D13" s="18">
        <v>20</v>
      </c>
      <c r="E13" s="19">
        <v>17</v>
      </c>
      <c r="F13" s="20">
        <f>D13-E13</f>
        <v>3</v>
      </c>
      <c r="G13" s="64">
        <f t="shared" si="1"/>
        <v>0.85</v>
      </c>
      <c r="H13" s="18">
        <f>E13*8*2</f>
        <v>272</v>
      </c>
      <c r="I13" s="20">
        <f>SUM(J13:L13)</f>
        <v>65</v>
      </c>
      <c r="J13" s="20">
        <v>64</v>
      </c>
      <c r="K13" s="85">
        <v>1</v>
      </c>
      <c r="L13" s="86"/>
      <c r="M13" s="64">
        <f t="shared" si="3"/>
        <v>0.98461538461538467</v>
      </c>
      <c r="N13" s="21">
        <v>1</v>
      </c>
      <c r="O13" s="66">
        <f t="shared" si="4"/>
        <v>1.5625E-2</v>
      </c>
      <c r="P13" s="20">
        <v>0</v>
      </c>
      <c r="Q13" s="66">
        <f t="shared" si="5"/>
        <v>0</v>
      </c>
      <c r="R13" s="20">
        <v>26</v>
      </c>
      <c r="S13" s="67">
        <f t="shared" si="6"/>
        <v>0.40625</v>
      </c>
      <c r="T13" s="18">
        <v>22</v>
      </c>
      <c r="U13" s="66">
        <f t="shared" si="7"/>
        <v>0.34375</v>
      </c>
      <c r="V13" s="68">
        <f t="shared" si="8"/>
        <v>0.65625</v>
      </c>
    </row>
    <row r="14" spans="1:22" ht="31.5" thickTop="1" thickBot="1" x14ac:dyDescent="0.3">
      <c r="A14" s="30" t="s">
        <v>32</v>
      </c>
      <c r="B14" t="s">
        <v>27</v>
      </c>
      <c r="C14" s="22" t="s">
        <v>29</v>
      </c>
      <c r="D14" s="14">
        <v>20</v>
      </c>
      <c r="E14" s="15">
        <v>11</v>
      </c>
      <c r="F14" s="20">
        <f t="shared" ref="F14" si="13">D14-E14</f>
        <v>9</v>
      </c>
      <c r="G14" s="64">
        <f t="shared" si="1"/>
        <v>0.55000000000000004</v>
      </c>
      <c r="H14" s="14">
        <f>E14*4*2</f>
        <v>88</v>
      </c>
      <c r="I14" s="20">
        <f t="shared" ref="I14:I15" si="14">SUM(J14:L14)</f>
        <v>22</v>
      </c>
      <c r="J14" s="16">
        <v>21</v>
      </c>
      <c r="K14" s="87">
        <v>1</v>
      </c>
      <c r="L14" s="88"/>
      <c r="M14" s="64">
        <f t="shared" si="3"/>
        <v>0.95454545454545459</v>
      </c>
      <c r="N14" s="17">
        <v>2</v>
      </c>
      <c r="O14" s="66">
        <f t="shared" si="4"/>
        <v>9.5238095238095233E-2</v>
      </c>
      <c r="P14" s="16">
        <v>0</v>
      </c>
      <c r="Q14" s="66">
        <f t="shared" si="5"/>
        <v>0</v>
      </c>
      <c r="R14" s="16">
        <v>10</v>
      </c>
      <c r="S14" s="67">
        <f t="shared" si="6"/>
        <v>0.47619047619047616</v>
      </c>
      <c r="T14" s="14">
        <v>5</v>
      </c>
      <c r="U14" s="66">
        <f t="shared" si="7"/>
        <v>0.23809523809523808</v>
      </c>
      <c r="V14" s="68">
        <f t="shared" si="8"/>
        <v>0.76190476190476186</v>
      </c>
    </row>
    <row r="15" spans="1:22" ht="16.5" thickTop="1" thickBot="1" x14ac:dyDescent="0.3">
      <c r="A15" s="30" t="s">
        <v>32</v>
      </c>
      <c r="B15" t="s">
        <v>27</v>
      </c>
      <c r="C15" s="31" t="s">
        <v>33</v>
      </c>
      <c r="D15" s="32">
        <v>19</v>
      </c>
      <c r="E15" s="33">
        <v>12</v>
      </c>
      <c r="F15" s="34">
        <v>0</v>
      </c>
      <c r="G15" s="64">
        <f t="shared" si="1"/>
        <v>0.63157894736842102</v>
      </c>
      <c r="H15" s="32">
        <f>E15*4*2</f>
        <v>96</v>
      </c>
      <c r="I15" s="20">
        <f t="shared" si="14"/>
        <v>28</v>
      </c>
      <c r="J15" s="34">
        <v>28</v>
      </c>
      <c r="K15" s="89">
        <v>0</v>
      </c>
      <c r="L15" s="90"/>
      <c r="M15" s="64">
        <f t="shared" si="3"/>
        <v>1</v>
      </c>
      <c r="N15" s="35">
        <v>0</v>
      </c>
      <c r="O15" s="66">
        <f t="shared" si="4"/>
        <v>0</v>
      </c>
      <c r="P15" s="34">
        <v>0</v>
      </c>
      <c r="Q15" s="66">
        <f t="shared" si="5"/>
        <v>0</v>
      </c>
      <c r="R15" s="34">
        <v>4</v>
      </c>
      <c r="S15" s="67">
        <f t="shared" si="6"/>
        <v>0.14285714285714285</v>
      </c>
      <c r="T15" s="32">
        <v>2</v>
      </c>
      <c r="U15" s="66">
        <f t="shared" si="7"/>
        <v>7.1428571428571425E-2</v>
      </c>
      <c r="V15" s="68">
        <f t="shared" si="8"/>
        <v>0.9285714285714286</v>
      </c>
    </row>
    <row r="16" spans="1:22" ht="46.5" thickTop="1" thickBot="1" x14ac:dyDescent="0.3">
      <c r="A16" s="30" t="s">
        <v>32</v>
      </c>
      <c r="B16" s="30" t="s">
        <v>30</v>
      </c>
      <c r="C16" s="36" t="s">
        <v>31</v>
      </c>
      <c r="D16" s="37">
        <v>16</v>
      </c>
      <c r="E16" s="38">
        <v>10</v>
      </c>
      <c r="F16" s="39">
        <f>D16-E16</f>
        <v>6</v>
      </c>
      <c r="G16" s="64">
        <f t="shared" si="1"/>
        <v>0.625</v>
      </c>
      <c r="H16" s="37">
        <f>E16*4*2</f>
        <v>80</v>
      </c>
      <c r="I16" s="39">
        <f>SUM(J16:L16)</f>
        <v>24</v>
      </c>
      <c r="J16" s="40">
        <v>23</v>
      </c>
      <c r="K16" s="91">
        <v>1</v>
      </c>
      <c r="L16" s="92"/>
      <c r="M16" s="64">
        <f t="shared" si="3"/>
        <v>0.95833333333333337</v>
      </c>
      <c r="N16" s="41">
        <v>0</v>
      </c>
      <c r="O16" s="66">
        <f t="shared" si="4"/>
        <v>0</v>
      </c>
      <c r="P16" s="40">
        <v>0</v>
      </c>
      <c r="Q16" s="66">
        <f t="shared" si="5"/>
        <v>0</v>
      </c>
      <c r="R16" s="40">
        <v>0</v>
      </c>
      <c r="S16" s="67">
        <f t="shared" si="6"/>
        <v>0</v>
      </c>
      <c r="T16" s="42">
        <v>0</v>
      </c>
      <c r="U16" s="66">
        <f t="shared" si="7"/>
        <v>0</v>
      </c>
      <c r="V16" s="68">
        <f t="shared" si="8"/>
        <v>1</v>
      </c>
    </row>
    <row r="17" spans="1:22" ht="60.75" thickBot="1" x14ac:dyDescent="0.3">
      <c r="A17" s="43" t="s">
        <v>34</v>
      </c>
      <c r="B17" t="s">
        <v>22</v>
      </c>
      <c r="C17" s="8" t="s">
        <v>23</v>
      </c>
      <c r="D17" s="9">
        <v>20</v>
      </c>
      <c r="E17" s="10">
        <v>18</v>
      </c>
      <c r="F17" s="11">
        <f>D17-E17</f>
        <v>2</v>
      </c>
      <c r="G17" s="64">
        <f t="shared" si="1"/>
        <v>0.9</v>
      </c>
      <c r="H17" s="9">
        <f>E17*4*3</f>
        <v>216</v>
      </c>
      <c r="I17" s="11">
        <f>SUM(K17:L17,J17)</f>
        <v>166</v>
      </c>
      <c r="J17" s="11">
        <v>164</v>
      </c>
      <c r="K17" s="75">
        <v>2</v>
      </c>
      <c r="L17" s="76"/>
      <c r="M17" s="64">
        <f t="shared" si="3"/>
        <v>0.98795180722891562</v>
      </c>
      <c r="N17" s="12">
        <v>90</v>
      </c>
      <c r="O17" s="66">
        <f t="shared" si="4"/>
        <v>0.54878048780487809</v>
      </c>
      <c r="P17" s="11">
        <v>28</v>
      </c>
      <c r="Q17" s="66">
        <f t="shared" si="5"/>
        <v>0.17073170731707318</v>
      </c>
      <c r="R17" s="11">
        <v>24</v>
      </c>
      <c r="S17" s="67">
        <f t="shared" si="6"/>
        <v>0.14634146341463414</v>
      </c>
      <c r="T17" s="9">
        <v>39</v>
      </c>
      <c r="U17" s="66">
        <f t="shared" si="7"/>
        <v>0.23780487804878048</v>
      </c>
      <c r="V17" s="68">
        <f t="shared" si="8"/>
        <v>0.76219512195121952</v>
      </c>
    </row>
    <row r="18" spans="1:22" ht="45.75" thickBot="1" x14ac:dyDescent="0.3">
      <c r="A18" s="43" t="s">
        <v>34</v>
      </c>
      <c r="B18" t="s">
        <v>22</v>
      </c>
      <c r="C18" s="13" t="s">
        <v>24</v>
      </c>
      <c r="D18" s="14">
        <v>20</v>
      </c>
      <c r="E18" s="15">
        <v>18</v>
      </c>
      <c r="F18" s="11">
        <f t="shared" ref="F18:F20" si="15">D18-E18</f>
        <v>2</v>
      </c>
      <c r="G18" s="64">
        <f t="shared" si="1"/>
        <v>0.9</v>
      </c>
      <c r="H18" s="14">
        <f>E18*4*2</f>
        <v>144</v>
      </c>
      <c r="I18" s="11">
        <f t="shared" ref="I18:I19" si="16">SUM(K18:L18,J18)</f>
        <v>135</v>
      </c>
      <c r="J18" s="16">
        <v>133</v>
      </c>
      <c r="K18" s="87">
        <v>2</v>
      </c>
      <c r="L18" s="88"/>
      <c r="M18" s="64">
        <f t="shared" si="3"/>
        <v>0.98518518518518516</v>
      </c>
      <c r="N18" s="17">
        <v>127</v>
      </c>
      <c r="O18" s="66">
        <f t="shared" si="4"/>
        <v>0.95488721804511278</v>
      </c>
      <c r="P18" s="16">
        <v>58</v>
      </c>
      <c r="Q18" s="66">
        <f t="shared" si="5"/>
        <v>0.43609022556390975</v>
      </c>
      <c r="R18" s="16">
        <v>19</v>
      </c>
      <c r="S18" s="67">
        <f t="shared" si="6"/>
        <v>0.14285714285714285</v>
      </c>
      <c r="T18" s="14">
        <v>30</v>
      </c>
      <c r="U18" s="66">
        <f t="shared" si="7"/>
        <v>0.22556390977443608</v>
      </c>
      <c r="V18" s="68">
        <f t="shared" si="8"/>
        <v>0.77443609022556392</v>
      </c>
    </row>
    <row r="19" spans="1:22" ht="60.75" thickBot="1" x14ac:dyDescent="0.3">
      <c r="A19" s="43" t="s">
        <v>34</v>
      </c>
      <c r="B19" t="s">
        <v>22</v>
      </c>
      <c r="C19" s="8" t="s">
        <v>25</v>
      </c>
      <c r="D19" s="9">
        <v>20</v>
      </c>
      <c r="E19" s="10">
        <v>18</v>
      </c>
      <c r="F19" s="11">
        <f t="shared" si="15"/>
        <v>2</v>
      </c>
      <c r="G19" s="64">
        <f t="shared" si="1"/>
        <v>0.9</v>
      </c>
      <c r="H19" s="9">
        <f>E19*4*2</f>
        <v>144</v>
      </c>
      <c r="I19" s="11">
        <f t="shared" si="16"/>
        <v>112</v>
      </c>
      <c r="J19" s="11">
        <v>111</v>
      </c>
      <c r="K19" s="83">
        <v>1</v>
      </c>
      <c r="L19" s="84"/>
      <c r="M19" s="64">
        <f t="shared" si="3"/>
        <v>0.9910714285714286</v>
      </c>
      <c r="N19" s="12">
        <v>113</v>
      </c>
      <c r="O19" s="66">
        <f t="shared" si="4"/>
        <v>1.0180180180180181</v>
      </c>
      <c r="P19" s="11">
        <v>5</v>
      </c>
      <c r="Q19" s="66">
        <f t="shared" si="5"/>
        <v>4.5045045045045043E-2</v>
      </c>
      <c r="R19" s="11">
        <v>8</v>
      </c>
      <c r="S19" s="67">
        <f t="shared" si="6"/>
        <v>7.2072072072072071E-2</v>
      </c>
      <c r="T19" s="9">
        <v>14</v>
      </c>
      <c r="U19" s="66">
        <f t="shared" si="7"/>
        <v>0.12612612612612611</v>
      </c>
      <c r="V19" s="68">
        <f t="shared" si="8"/>
        <v>0.87387387387387383</v>
      </c>
    </row>
    <row r="20" spans="1:22" ht="60.75" thickBot="1" x14ac:dyDescent="0.3">
      <c r="A20" s="43" t="s">
        <v>34</v>
      </c>
      <c r="B20" t="s">
        <v>22</v>
      </c>
      <c r="C20" s="8" t="s">
        <v>26</v>
      </c>
      <c r="D20" s="9">
        <v>20</v>
      </c>
      <c r="E20" s="10">
        <v>16</v>
      </c>
      <c r="F20" s="11">
        <f t="shared" si="15"/>
        <v>4</v>
      </c>
      <c r="G20" s="64">
        <f t="shared" si="1"/>
        <v>0.8</v>
      </c>
      <c r="H20" s="9">
        <f>E20*4*2</f>
        <v>128</v>
      </c>
      <c r="I20" s="11">
        <f>SUM(K20:L20,J20)</f>
        <v>77</v>
      </c>
      <c r="J20" s="11">
        <v>76</v>
      </c>
      <c r="K20" s="83">
        <v>1</v>
      </c>
      <c r="L20" s="84"/>
      <c r="M20" s="64">
        <f t="shared" si="3"/>
        <v>0.98701298701298701</v>
      </c>
      <c r="N20" s="12">
        <v>95</v>
      </c>
      <c r="O20" s="66">
        <f t="shared" si="4"/>
        <v>1.25</v>
      </c>
      <c r="P20" s="11">
        <v>9</v>
      </c>
      <c r="Q20" s="66">
        <f t="shared" si="5"/>
        <v>0.11842105263157894</v>
      </c>
      <c r="R20" s="11">
        <v>1</v>
      </c>
      <c r="S20" s="67">
        <f t="shared" si="6"/>
        <v>1.3157894736842105E-2</v>
      </c>
      <c r="T20" s="9">
        <v>8</v>
      </c>
      <c r="U20" s="66">
        <f t="shared" si="7"/>
        <v>0.10526315789473684</v>
      </c>
      <c r="V20" s="68">
        <f t="shared" si="8"/>
        <v>0.89473684210526316</v>
      </c>
    </row>
    <row r="21" spans="1:22" ht="45.75" thickBot="1" x14ac:dyDescent="0.3">
      <c r="A21" s="43" t="s">
        <v>34</v>
      </c>
      <c r="B21" t="s">
        <v>35</v>
      </c>
      <c r="C21" s="8" t="s">
        <v>36</v>
      </c>
      <c r="D21" s="9">
        <v>10</v>
      </c>
      <c r="E21" s="10">
        <v>8</v>
      </c>
      <c r="F21" s="11">
        <v>0</v>
      </c>
      <c r="G21" s="64">
        <f t="shared" si="1"/>
        <v>0.8</v>
      </c>
      <c r="H21" s="9">
        <f>E21*3*2</f>
        <v>48</v>
      </c>
      <c r="I21" s="11">
        <f>SUM(K21:L21,J21)</f>
        <v>45</v>
      </c>
      <c r="J21" s="11">
        <v>43</v>
      </c>
      <c r="K21" s="83">
        <v>2</v>
      </c>
      <c r="L21" s="84"/>
      <c r="M21" s="64">
        <f t="shared" si="3"/>
        <v>0.9555555555555556</v>
      </c>
      <c r="N21" s="12">
        <v>39</v>
      </c>
      <c r="O21" s="66">
        <f t="shared" si="4"/>
        <v>0.90697674418604646</v>
      </c>
      <c r="P21" s="11">
        <v>38</v>
      </c>
      <c r="Q21" s="66">
        <f t="shared" si="5"/>
        <v>0.88372093023255816</v>
      </c>
      <c r="R21" s="11">
        <v>32</v>
      </c>
      <c r="S21" s="67">
        <f t="shared" si="6"/>
        <v>0.7441860465116279</v>
      </c>
      <c r="T21" s="9">
        <v>2</v>
      </c>
      <c r="U21" s="66">
        <f t="shared" si="7"/>
        <v>4.6511627906976744E-2</v>
      </c>
      <c r="V21" s="68">
        <f t="shared" si="8"/>
        <v>0.95348837209302328</v>
      </c>
    </row>
    <row r="22" spans="1:22" ht="16.5" thickTop="1" thickBot="1" x14ac:dyDescent="0.3">
      <c r="A22" s="43" t="s">
        <v>34</v>
      </c>
      <c r="B22" t="s">
        <v>27</v>
      </c>
      <c r="C22" s="13" t="s">
        <v>28</v>
      </c>
      <c r="D22" s="18">
        <v>20</v>
      </c>
      <c r="E22" s="19">
        <v>19</v>
      </c>
      <c r="F22" s="20">
        <f>D22-E22</f>
        <v>1</v>
      </c>
      <c r="G22" s="64">
        <f t="shared" si="1"/>
        <v>0.95</v>
      </c>
      <c r="H22" s="18">
        <f>E22*8*2</f>
        <v>304</v>
      </c>
      <c r="I22" s="20">
        <f>SUM(J22:L22)</f>
        <v>87</v>
      </c>
      <c r="J22" s="20">
        <v>86</v>
      </c>
      <c r="K22" s="85">
        <v>1</v>
      </c>
      <c r="L22" s="86"/>
      <c r="M22" s="64">
        <f t="shared" si="3"/>
        <v>0.9885057471264368</v>
      </c>
      <c r="N22" s="21">
        <v>4</v>
      </c>
      <c r="O22" s="66">
        <f t="shared" si="4"/>
        <v>4.6511627906976744E-2</v>
      </c>
      <c r="P22" s="20">
        <v>0</v>
      </c>
      <c r="Q22" s="66">
        <f t="shared" si="5"/>
        <v>0</v>
      </c>
      <c r="R22" s="20">
        <v>14</v>
      </c>
      <c r="S22" s="67">
        <f t="shared" si="6"/>
        <v>0.16279069767441862</v>
      </c>
      <c r="T22" s="18">
        <v>8</v>
      </c>
      <c r="U22" s="66">
        <f t="shared" si="7"/>
        <v>9.3023255813953487E-2</v>
      </c>
      <c r="V22" s="68">
        <f t="shared" si="8"/>
        <v>0.90697674418604657</v>
      </c>
    </row>
    <row r="23" spans="1:22" ht="31.5" thickTop="1" thickBot="1" x14ac:dyDescent="0.3">
      <c r="A23" s="43" t="s">
        <v>34</v>
      </c>
      <c r="B23" t="s">
        <v>27</v>
      </c>
      <c r="C23" s="22" t="s">
        <v>29</v>
      </c>
      <c r="D23" s="14">
        <v>20</v>
      </c>
      <c r="E23" s="15">
        <v>11</v>
      </c>
      <c r="F23" s="20">
        <f t="shared" ref="F23" si="17">D23-E23</f>
        <v>9</v>
      </c>
      <c r="G23" s="64">
        <f t="shared" si="1"/>
        <v>0.55000000000000004</v>
      </c>
      <c r="H23" s="14">
        <f>E23*4*2</f>
        <v>88</v>
      </c>
      <c r="I23" s="20">
        <f t="shared" ref="I23:I24" si="18">SUM(J23:L23)</f>
        <v>27</v>
      </c>
      <c r="J23" s="16">
        <v>26</v>
      </c>
      <c r="K23" s="87">
        <v>1</v>
      </c>
      <c r="L23" s="88"/>
      <c r="M23" s="64">
        <f t="shared" si="3"/>
        <v>0.96296296296296291</v>
      </c>
      <c r="N23" s="17">
        <v>1</v>
      </c>
      <c r="O23" s="66">
        <f t="shared" si="4"/>
        <v>3.8461538461538464E-2</v>
      </c>
      <c r="P23" s="16">
        <v>0</v>
      </c>
      <c r="Q23" s="66">
        <f t="shared" si="5"/>
        <v>0</v>
      </c>
      <c r="R23" s="16">
        <v>4</v>
      </c>
      <c r="S23" s="67">
        <f t="shared" si="6"/>
        <v>0.15384615384615385</v>
      </c>
      <c r="T23" s="14">
        <v>5</v>
      </c>
      <c r="U23" s="66">
        <f t="shared" si="7"/>
        <v>0.19230769230769232</v>
      </c>
      <c r="V23" s="68">
        <f t="shared" si="8"/>
        <v>0.80769230769230771</v>
      </c>
    </row>
    <row r="24" spans="1:22" ht="16.5" thickTop="1" thickBot="1" x14ac:dyDescent="0.3">
      <c r="A24" s="43" t="s">
        <v>34</v>
      </c>
      <c r="B24" t="s">
        <v>27</v>
      </c>
      <c r="C24" s="31" t="s">
        <v>33</v>
      </c>
      <c r="D24" s="32">
        <v>20</v>
      </c>
      <c r="E24" s="33">
        <v>12</v>
      </c>
      <c r="F24" s="34">
        <v>0</v>
      </c>
      <c r="G24" s="64">
        <f t="shared" si="1"/>
        <v>0.6</v>
      </c>
      <c r="H24" s="32">
        <f>E24*4*2</f>
        <v>96</v>
      </c>
      <c r="I24" s="20">
        <f t="shared" si="18"/>
        <v>30</v>
      </c>
      <c r="J24" s="34">
        <v>30</v>
      </c>
      <c r="K24" s="89">
        <v>0</v>
      </c>
      <c r="L24" s="90"/>
      <c r="M24" s="64">
        <f t="shared" si="3"/>
        <v>1</v>
      </c>
      <c r="N24" s="35">
        <v>3</v>
      </c>
      <c r="O24" s="66">
        <f t="shared" si="4"/>
        <v>0.1</v>
      </c>
      <c r="P24" s="34">
        <v>0</v>
      </c>
      <c r="Q24" s="66">
        <f t="shared" si="5"/>
        <v>0</v>
      </c>
      <c r="R24" s="34">
        <v>2</v>
      </c>
      <c r="S24" s="67">
        <f t="shared" si="6"/>
        <v>6.6666666666666666E-2</v>
      </c>
      <c r="T24" s="32">
        <v>3</v>
      </c>
      <c r="U24" s="66">
        <f t="shared" si="7"/>
        <v>0.1</v>
      </c>
      <c r="V24" s="68">
        <f t="shared" si="8"/>
        <v>0.9</v>
      </c>
    </row>
    <row r="25" spans="1:22" ht="46.5" thickTop="1" thickBot="1" x14ac:dyDescent="0.3">
      <c r="A25" s="43" t="s">
        <v>34</v>
      </c>
      <c r="B25" t="s">
        <v>30</v>
      </c>
      <c r="C25" s="44" t="s">
        <v>31</v>
      </c>
      <c r="D25" s="45">
        <v>16</v>
      </c>
      <c r="E25" s="46">
        <v>10</v>
      </c>
      <c r="F25" s="47">
        <f>D25-E25</f>
        <v>6</v>
      </c>
      <c r="G25" s="64">
        <f t="shared" si="1"/>
        <v>0.625</v>
      </c>
      <c r="H25" s="45">
        <f>E25*4*2</f>
        <v>80</v>
      </c>
      <c r="I25" s="48">
        <f>SUM(J25:L25)</f>
        <v>45</v>
      </c>
      <c r="J25" s="49">
        <v>43</v>
      </c>
      <c r="K25" s="79">
        <v>2</v>
      </c>
      <c r="L25" s="80"/>
      <c r="M25" s="64">
        <f t="shared" si="3"/>
        <v>0.9555555555555556</v>
      </c>
      <c r="N25" s="50">
        <v>0</v>
      </c>
      <c r="O25" s="66">
        <f t="shared" si="4"/>
        <v>0</v>
      </c>
      <c r="P25" s="49">
        <v>0</v>
      </c>
      <c r="Q25" s="66">
        <f t="shared" si="5"/>
        <v>0</v>
      </c>
      <c r="R25" s="49">
        <v>0</v>
      </c>
      <c r="S25" s="67">
        <f t="shared" si="6"/>
        <v>0</v>
      </c>
      <c r="T25" s="51">
        <v>0</v>
      </c>
      <c r="U25" s="66">
        <f t="shared" si="7"/>
        <v>0</v>
      </c>
      <c r="V25" s="68">
        <f t="shared" si="8"/>
        <v>1</v>
      </c>
    </row>
    <row r="26" spans="1:22" ht="60.75" thickBot="1" x14ac:dyDescent="0.3">
      <c r="A26" s="52" t="s">
        <v>37</v>
      </c>
      <c r="B26" s="52" t="s">
        <v>22</v>
      </c>
      <c r="C26" s="53" t="s">
        <v>23</v>
      </c>
      <c r="D26" s="54">
        <v>17</v>
      </c>
      <c r="E26" s="55">
        <v>17</v>
      </c>
      <c r="F26" s="56">
        <f>D26-E26</f>
        <v>0</v>
      </c>
      <c r="G26" s="64">
        <f t="shared" si="1"/>
        <v>1</v>
      </c>
      <c r="H26" s="54">
        <f>E26*4*3</f>
        <v>204</v>
      </c>
      <c r="I26" s="56">
        <v>149</v>
      </c>
      <c r="J26" s="56">
        <v>143</v>
      </c>
      <c r="K26" s="81">
        <f>I26-J26</f>
        <v>6</v>
      </c>
      <c r="L26" s="82"/>
      <c r="M26" s="64">
        <f t="shared" si="3"/>
        <v>0.95973154362416102</v>
      </c>
      <c r="N26" s="57">
        <v>84</v>
      </c>
      <c r="O26" s="66">
        <f t="shared" si="4"/>
        <v>0.58741258741258739</v>
      </c>
      <c r="P26" s="56">
        <v>16</v>
      </c>
      <c r="Q26" s="66">
        <f t="shared" si="5"/>
        <v>0.11188811188811189</v>
      </c>
      <c r="R26" s="56">
        <v>14</v>
      </c>
      <c r="S26" s="67">
        <f t="shared" si="6"/>
        <v>9.7902097902097904E-2</v>
      </c>
      <c r="T26" s="54">
        <v>25</v>
      </c>
      <c r="U26" s="66">
        <f t="shared" si="7"/>
        <v>0.17482517482517482</v>
      </c>
      <c r="V26" s="68">
        <f t="shared" si="8"/>
        <v>0.82517482517482521</v>
      </c>
    </row>
    <row r="27" spans="1:22" ht="45.75" thickBot="1" x14ac:dyDescent="0.3">
      <c r="A27" s="52" t="s">
        <v>37</v>
      </c>
      <c r="B27" t="s">
        <v>22</v>
      </c>
      <c r="C27" s="13" t="s">
        <v>24</v>
      </c>
      <c r="D27" s="14">
        <v>17</v>
      </c>
      <c r="E27" s="15">
        <v>11</v>
      </c>
      <c r="F27" s="11">
        <f t="shared" ref="F27:F30" si="19">D27-E27</f>
        <v>6</v>
      </c>
      <c r="G27" s="64">
        <f t="shared" si="1"/>
        <v>0.6470588235294118</v>
      </c>
      <c r="H27" s="14">
        <f>E27*4*2</f>
        <v>88</v>
      </c>
      <c r="I27" s="11">
        <v>75</v>
      </c>
      <c r="J27" s="16">
        <v>74</v>
      </c>
      <c r="K27" s="75">
        <f>I27-J27</f>
        <v>1</v>
      </c>
      <c r="L27" s="76"/>
      <c r="M27" s="64">
        <f t="shared" si="3"/>
        <v>0.98666666666666669</v>
      </c>
      <c r="N27" s="17">
        <v>66</v>
      </c>
      <c r="O27" s="66">
        <f t="shared" si="4"/>
        <v>0.89189189189189189</v>
      </c>
      <c r="P27" s="16">
        <v>12</v>
      </c>
      <c r="Q27" s="66">
        <f t="shared" si="5"/>
        <v>0.16216216216216217</v>
      </c>
      <c r="R27" s="16">
        <v>8</v>
      </c>
      <c r="S27" s="67">
        <f t="shared" si="6"/>
        <v>0.10810810810810811</v>
      </c>
      <c r="T27" s="14">
        <v>11</v>
      </c>
      <c r="U27" s="66">
        <f t="shared" si="7"/>
        <v>0.14864864864864866</v>
      </c>
      <c r="V27" s="68">
        <f t="shared" si="8"/>
        <v>0.85135135135135132</v>
      </c>
    </row>
    <row r="28" spans="1:22" ht="60.75" thickBot="1" x14ac:dyDescent="0.3">
      <c r="A28" s="52" t="s">
        <v>37</v>
      </c>
      <c r="B28" t="s">
        <v>22</v>
      </c>
      <c r="C28" s="8" t="s">
        <v>25</v>
      </c>
      <c r="D28" s="9">
        <v>18</v>
      </c>
      <c r="E28" s="10">
        <v>18</v>
      </c>
      <c r="F28" s="11">
        <f t="shared" si="19"/>
        <v>0</v>
      </c>
      <c r="G28" s="64">
        <f t="shared" si="1"/>
        <v>1</v>
      </c>
      <c r="H28" s="9">
        <f>E28*4*2</f>
        <v>144</v>
      </c>
      <c r="I28" s="11">
        <v>83</v>
      </c>
      <c r="J28" s="11">
        <v>83</v>
      </c>
      <c r="K28" s="75">
        <f t="shared" ref="K28:K29" si="20">I28-J28</f>
        <v>0</v>
      </c>
      <c r="L28" s="76"/>
      <c r="M28" s="64">
        <f t="shared" si="3"/>
        <v>1</v>
      </c>
      <c r="N28" s="12">
        <v>71</v>
      </c>
      <c r="O28" s="66">
        <f t="shared" si="4"/>
        <v>0.85542168674698793</v>
      </c>
      <c r="P28" s="11">
        <v>12</v>
      </c>
      <c r="Q28" s="66">
        <f t="shared" si="5"/>
        <v>0.14457831325301204</v>
      </c>
      <c r="R28" s="11">
        <v>7</v>
      </c>
      <c r="S28" s="67">
        <f t="shared" si="6"/>
        <v>8.4337349397590355E-2</v>
      </c>
      <c r="T28" s="9">
        <v>16</v>
      </c>
      <c r="U28" s="66">
        <f t="shared" si="7"/>
        <v>0.19277108433734941</v>
      </c>
      <c r="V28" s="68">
        <f t="shared" si="8"/>
        <v>0.80722891566265065</v>
      </c>
    </row>
    <row r="29" spans="1:22" ht="60.75" thickBot="1" x14ac:dyDescent="0.3">
      <c r="A29" s="52" t="s">
        <v>37</v>
      </c>
      <c r="B29" t="s">
        <v>22</v>
      </c>
      <c r="C29" s="8" t="s">
        <v>26</v>
      </c>
      <c r="D29" s="9">
        <v>18</v>
      </c>
      <c r="E29" s="10">
        <v>16</v>
      </c>
      <c r="F29" s="11">
        <f t="shared" si="19"/>
        <v>2</v>
      </c>
      <c r="G29" s="64">
        <f t="shared" si="1"/>
        <v>0.88888888888888884</v>
      </c>
      <c r="H29" s="9">
        <f>E29*4*2</f>
        <v>128</v>
      </c>
      <c r="I29" s="11">
        <v>82</v>
      </c>
      <c r="J29" s="11">
        <v>79</v>
      </c>
      <c r="K29" s="75">
        <f t="shared" si="20"/>
        <v>3</v>
      </c>
      <c r="L29" s="76"/>
      <c r="M29" s="64">
        <f t="shared" si="3"/>
        <v>0.96341463414634143</v>
      </c>
      <c r="N29" s="12">
        <v>81</v>
      </c>
      <c r="O29" s="66">
        <f t="shared" si="4"/>
        <v>1.0253164556962024</v>
      </c>
      <c r="P29" s="11">
        <v>21</v>
      </c>
      <c r="Q29" s="66">
        <f t="shared" si="5"/>
        <v>0.26582278481012656</v>
      </c>
      <c r="R29" s="11">
        <v>3</v>
      </c>
      <c r="S29" s="67">
        <f t="shared" si="6"/>
        <v>3.7974683544303799E-2</v>
      </c>
      <c r="T29" s="9">
        <v>11</v>
      </c>
      <c r="U29" s="66">
        <f t="shared" si="7"/>
        <v>0.13924050632911392</v>
      </c>
      <c r="V29" s="68">
        <f t="shared" si="8"/>
        <v>0.86075949367088611</v>
      </c>
    </row>
    <row r="30" spans="1:22" ht="45.75" thickBot="1" x14ac:dyDescent="0.3">
      <c r="A30" s="52" t="s">
        <v>37</v>
      </c>
      <c r="B30" t="s">
        <v>35</v>
      </c>
      <c r="C30" s="8" t="s">
        <v>36</v>
      </c>
      <c r="D30" s="9">
        <v>18</v>
      </c>
      <c r="E30" s="10">
        <v>15</v>
      </c>
      <c r="F30" s="11">
        <f t="shared" si="19"/>
        <v>3</v>
      </c>
      <c r="G30" s="64">
        <f t="shared" si="1"/>
        <v>0.83333333333333337</v>
      </c>
      <c r="H30" s="9">
        <f>E30*3*2</f>
        <v>90</v>
      </c>
      <c r="I30" s="11">
        <v>93</v>
      </c>
      <c r="J30" s="11">
        <v>93</v>
      </c>
      <c r="K30" s="75">
        <f>I30-J30</f>
        <v>0</v>
      </c>
      <c r="L30" s="76"/>
      <c r="M30" s="64">
        <f t="shared" si="3"/>
        <v>1</v>
      </c>
      <c r="N30" s="12">
        <v>92</v>
      </c>
      <c r="O30" s="66">
        <f t="shared" si="4"/>
        <v>0.989247311827957</v>
      </c>
      <c r="P30" s="11">
        <v>42</v>
      </c>
      <c r="Q30" s="66">
        <f t="shared" si="5"/>
        <v>0.45161290322580644</v>
      </c>
      <c r="R30" s="11">
        <v>36</v>
      </c>
      <c r="S30" s="67">
        <f t="shared" si="6"/>
        <v>0.38709677419354838</v>
      </c>
      <c r="T30" s="9">
        <v>18</v>
      </c>
      <c r="U30" s="66">
        <f t="shared" si="7"/>
        <v>0.19354838709677419</v>
      </c>
      <c r="V30" s="68">
        <f t="shared" si="8"/>
        <v>0.80645161290322576</v>
      </c>
    </row>
    <row r="31" spans="1:22" ht="16.5" thickTop="1" thickBot="1" x14ac:dyDescent="0.3">
      <c r="A31" s="52" t="s">
        <v>37</v>
      </c>
      <c r="B31" t="s">
        <v>27</v>
      </c>
      <c r="C31" s="13" t="s">
        <v>28</v>
      </c>
      <c r="D31" s="18">
        <v>18</v>
      </c>
      <c r="E31" s="19">
        <v>17</v>
      </c>
      <c r="F31" s="20">
        <f>D31-E31</f>
        <v>1</v>
      </c>
      <c r="G31" s="64">
        <f t="shared" si="1"/>
        <v>0.94444444444444442</v>
      </c>
      <c r="H31" s="18">
        <f>E31*8*2</f>
        <v>272</v>
      </c>
      <c r="I31" s="20">
        <v>79</v>
      </c>
      <c r="J31" s="20">
        <v>78</v>
      </c>
      <c r="K31" s="75">
        <f>I31-J31</f>
        <v>1</v>
      </c>
      <c r="L31" s="76"/>
      <c r="M31" s="64">
        <f t="shared" si="3"/>
        <v>0.98734177215189878</v>
      </c>
      <c r="N31" s="21">
        <v>3</v>
      </c>
      <c r="O31" s="66">
        <f t="shared" si="4"/>
        <v>3.8461538461538464E-2</v>
      </c>
      <c r="P31" s="20">
        <v>0</v>
      </c>
      <c r="Q31" s="66">
        <f t="shared" si="5"/>
        <v>0</v>
      </c>
      <c r="R31" s="20">
        <v>12</v>
      </c>
      <c r="S31" s="67">
        <f t="shared" si="6"/>
        <v>0.15384615384615385</v>
      </c>
      <c r="T31" s="18">
        <v>2</v>
      </c>
      <c r="U31" s="66">
        <f t="shared" si="7"/>
        <v>2.564102564102564E-2</v>
      </c>
      <c r="V31" s="68">
        <f t="shared" si="8"/>
        <v>0.97435897435897434</v>
      </c>
    </row>
    <row r="32" spans="1:22" ht="31.5" thickTop="1" thickBot="1" x14ac:dyDescent="0.3">
      <c r="A32" s="52" t="s">
        <v>37</v>
      </c>
      <c r="B32" t="s">
        <v>27</v>
      </c>
      <c r="C32" s="22" t="s">
        <v>29</v>
      </c>
      <c r="D32" s="14">
        <v>16</v>
      </c>
      <c r="E32" s="15">
        <v>16</v>
      </c>
      <c r="F32" s="20">
        <f t="shared" ref="F32:F33" si="21">D32-E32</f>
        <v>0</v>
      </c>
      <c r="G32" s="64">
        <f t="shared" si="1"/>
        <v>1</v>
      </c>
      <c r="H32" s="14">
        <f>E32*4*2</f>
        <v>128</v>
      </c>
      <c r="I32" s="20">
        <v>33</v>
      </c>
      <c r="J32" s="16">
        <v>33</v>
      </c>
      <c r="K32" s="75">
        <f t="shared" ref="K32:K33" si="22">I32-J32</f>
        <v>0</v>
      </c>
      <c r="L32" s="76"/>
      <c r="M32" s="64">
        <f t="shared" si="3"/>
        <v>1</v>
      </c>
      <c r="N32" s="17">
        <v>0</v>
      </c>
      <c r="O32" s="66">
        <f t="shared" si="4"/>
        <v>0</v>
      </c>
      <c r="P32" s="16">
        <v>0</v>
      </c>
      <c r="Q32" s="66">
        <f t="shared" si="5"/>
        <v>0</v>
      </c>
      <c r="R32" s="16">
        <v>6</v>
      </c>
      <c r="S32" s="67">
        <f t="shared" si="6"/>
        <v>0.18181818181818182</v>
      </c>
      <c r="T32" s="14">
        <v>3</v>
      </c>
      <c r="U32" s="66">
        <f t="shared" si="7"/>
        <v>9.0909090909090912E-2</v>
      </c>
      <c r="V32" s="68">
        <f t="shared" si="8"/>
        <v>0.90909090909090906</v>
      </c>
    </row>
    <row r="33" spans="1:22" ht="16.5" thickTop="1" thickBot="1" x14ac:dyDescent="0.3">
      <c r="A33" s="52" t="s">
        <v>37</v>
      </c>
      <c r="B33" t="s">
        <v>27</v>
      </c>
      <c r="C33" s="31" t="s">
        <v>33</v>
      </c>
      <c r="D33" s="32">
        <v>18</v>
      </c>
      <c r="E33" s="33">
        <v>15</v>
      </c>
      <c r="F33" s="20">
        <f t="shared" si="21"/>
        <v>3</v>
      </c>
      <c r="G33" s="64">
        <f t="shared" si="1"/>
        <v>0.83333333333333337</v>
      </c>
      <c r="H33" s="32">
        <f>E33*4*2</f>
        <v>120</v>
      </c>
      <c r="I33" s="20">
        <v>28</v>
      </c>
      <c r="J33" s="34">
        <v>28</v>
      </c>
      <c r="K33" s="75">
        <f t="shared" si="22"/>
        <v>0</v>
      </c>
      <c r="L33" s="76"/>
      <c r="M33" s="64">
        <f t="shared" si="3"/>
        <v>1</v>
      </c>
      <c r="N33" s="35">
        <v>1</v>
      </c>
      <c r="O33" s="66">
        <f t="shared" si="4"/>
        <v>3.5714285714285712E-2</v>
      </c>
      <c r="P33" s="34">
        <v>0</v>
      </c>
      <c r="Q33" s="66">
        <f t="shared" si="5"/>
        <v>0</v>
      </c>
      <c r="R33" s="34">
        <v>4</v>
      </c>
      <c r="S33" s="67">
        <f t="shared" si="6"/>
        <v>0.14285714285714285</v>
      </c>
      <c r="T33" s="32">
        <v>4</v>
      </c>
      <c r="U33" s="66">
        <f t="shared" si="7"/>
        <v>0.14285714285714285</v>
      </c>
      <c r="V33" s="68">
        <f t="shared" si="8"/>
        <v>0.85714285714285721</v>
      </c>
    </row>
    <row r="34" spans="1:22" ht="46.5" thickTop="1" thickBot="1" x14ac:dyDescent="0.3">
      <c r="A34" s="52" t="s">
        <v>37</v>
      </c>
      <c r="B34" t="s">
        <v>30</v>
      </c>
      <c r="C34" s="44" t="s">
        <v>31</v>
      </c>
      <c r="D34" s="45">
        <v>17</v>
      </c>
      <c r="E34" s="46">
        <v>14</v>
      </c>
      <c r="F34" s="47">
        <f>D34-E34</f>
        <v>3</v>
      </c>
      <c r="G34" s="64">
        <f t="shared" si="1"/>
        <v>0.82352941176470584</v>
      </c>
      <c r="H34" s="45">
        <f>E34*4*2</f>
        <v>112</v>
      </c>
      <c r="I34" s="48">
        <v>37</v>
      </c>
      <c r="J34" s="49">
        <v>35</v>
      </c>
      <c r="K34" s="75">
        <f>I34-J34</f>
        <v>2</v>
      </c>
      <c r="L34" s="76"/>
      <c r="M34" s="64">
        <f t="shared" si="3"/>
        <v>0.94594594594594594</v>
      </c>
      <c r="N34" s="50">
        <v>0</v>
      </c>
      <c r="O34" s="66">
        <f t="shared" si="4"/>
        <v>0</v>
      </c>
      <c r="P34" s="49">
        <v>0</v>
      </c>
      <c r="Q34" s="66">
        <f t="shared" si="5"/>
        <v>0</v>
      </c>
      <c r="R34" s="49">
        <v>0</v>
      </c>
      <c r="S34" s="67">
        <f t="shared" si="6"/>
        <v>0</v>
      </c>
      <c r="T34" s="51">
        <v>0</v>
      </c>
      <c r="U34" s="66">
        <f t="shared" si="7"/>
        <v>0</v>
      </c>
      <c r="V34" s="68">
        <f t="shared" si="8"/>
        <v>1</v>
      </c>
    </row>
    <row r="35" spans="1:22" ht="15.75" thickBot="1" x14ac:dyDescent="0.3">
      <c r="A35" s="43" t="s">
        <v>47</v>
      </c>
      <c r="B35" t="s">
        <v>22</v>
      </c>
      <c r="C35" t="s">
        <v>23</v>
      </c>
      <c r="D35">
        <v>18</v>
      </c>
      <c r="E35">
        <v>17</v>
      </c>
      <c r="F35">
        <v>1</v>
      </c>
      <c r="G35" s="64">
        <f t="shared" si="1"/>
        <v>0.94444444444444442</v>
      </c>
      <c r="H35">
        <v>204</v>
      </c>
      <c r="I35">
        <v>161</v>
      </c>
      <c r="J35">
        <v>134</v>
      </c>
      <c r="K35" s="97">
        <v>27</v>
      </c>
      <c r="L35" s="97"/>
      <c r="M35" s="64">
        <f t="shared" si="3"/>
        <v>0.83229813664596275</v>
      </c>
      <c r="N35">
        <v>83</v>
      </c>
      <c r="O35" s="66">
        <f t="shared" si="4"/>
        <v>0.61940298507462688</v>
      </c>
      <c r="P35">
        <v>21</v>
      </c>
      <c r="Q35" s="66">
        <f t="shared" si="5"/>
        <v>0.15671641791044777</v>
      </c>
      <c r="R35">
        <v>10</v>
      </c>
      <c r="S35" s="67">
        <f t="shared" si="6"/>
        <v>7.4626865671641784E-2</v>
      </c>
      <c r="T35">
        <v>21</v>
      </c>
      <c r="U35" s="66">
        <f t="shared" si="7"/>
        <v>0.15671641791044777</v>
      </c>
      <c r="V35" s="68">
        <f t="shared" si="8"/>
        <v>0.84328358208955223</v>
      </c>
    </row>
    <row r="36" spans="1:22" ht="15.75" thickBot="1" x14ac:dyDescent="0.3">
      <c r="A36" s="43" t="s">
        <v>47</v>
      </c>
      <c r="B36" t="s">
        <v>22</v>
      </c>
      <c r="C36" t="s">
        <v>24</v>
      </c>
      <c r="D36">
        <v>19</v>
      </c>
      <c r="E36">
        <v>19</v>
      </c>
      <c r="F36">
        <v>0</v>
      </c>
      <c r="G36" s="64">
        <f t="shared" si="1"/>
        <v>1</v>
      </c>
      <c r="H36">
        <v>152</v>
      </c>
      <c r="I36">
        <v>151</v>
      </c>
      <c r="J36">
        <v>118</v>
      </c>
      <c r="K36" s="98">
        <v>33</v>
      </c>
      <c r="L36" s="98"/>
      <c r="M36" s="64">
        <f t="shared" si="3"/>
        <v>0.7814569536423841</v>
      </c>
      <c r="N36">
        <v>88</v>
      </c>
      <c r="O36" s="66">
        <f t="shared" si="4"/>
        <v>0.74576271186440679</v>
      </c>
      <c r="P36">
        <v>19</v>
      </c>
      <c r="Q36" s="66">
        <f t="shared" si="5"/>
        <v>0.16101694915254236</v>
      </c>
      <c r="R36">
        <v>20</v>
      </c>
      <c r="S36" s="67">
        <f t="shared" si="6"/>
        <v>0.16949152542372881</v>
      </c>
      <c r="T36">
        <v>25</v>
      </c>
      <c r="U36" s="66">
        <f t="shared" si="7"/>
        <v>0.21186440677966101</v>
      </c>
      <c r="V36" s="68">
        <f t="shared" si="8"/>
        <v>0.78813559322033899</v>
      </c>
    </row>
    <row r="37" spans="1:22" ht="15.75" thickBot="1" x14ac:dyDescent="0.3">
      <c r="A37" s="43" t="s">
        <v>47</v>
      </c>
      <c r="B37" t="s">
        <v>22</v>
      </c>
      <c r="C37" t="s">
        <v>25</v>
      </c>
      <c r="D37">
        <v>19</v>
      </c>
      <c r="E37">
        <v>17</v>
      </c>
      <c r="F37">
        <v>2</v>
      </c>
      <c r="G37" s="64">
        <f t="shared" si="1"/>
        <v>0.89473684210526316</v>
      </c>
      <c r="H37">
        <v>136</v>
      </c>
      <c r="I37">
        <v>126</v>
      </c>
      <c r="J37">
        <v>86</v>
      </c>
      <c r="K37" s="98">
        <v>40</v>
      </c>
      <c r="L37" s="98"/>
      <c r="M37" s="64">
        <f t="shared" si="3"/>
        <v>0.68253968253968256</v>
      </c>
      <c r="N37">
        <v>78</v>
      </c>
      <c r="O37" s="66">
        <f t="shared" si="4"/>
        <v>0.90697674418604646</v>
      </c>
      <c r="P37">
        <v>3</v>
      </c>
      <c r="Q37" s="66">
        <f t="shared" si="5"/>
        <v>3.4883720930232558E-2</v>
      </c>
      <c r="R37">
        <v>5</v>
      </c>
      <c r="S37" s="67">
        <f t="shared" si="6"/>
        <v>5.8139534883720929E-2</v>
      </c>
      <c r="T37">
        <v>10</v>
      </c>
      <c r="U37" s="66">
        <f t="shared" si="7"/>
        <v>0.11627906976744186</v>
      </c>
      <c r="V37" s="68">
        <f t="shared" si="8"/>
        <v>0.88372093023255816</v>
      </c>
    </row>
    <row r="38" spans="1:22" ht="15.75" thickBot="1" x14ac:dyDescent="0.3">
      <c r="A38" s="43" t="s">
        <v>47</v>
      </c>
      <c r="B38" t="s">
        <v>22</v>
      </c>
      <c r="C38" t="s">
        <v>26</v>
      </c>
      <c r="D38">
        <v>19</v>
      </c>
      <c r="E38">
        <v>17</v>
      </c>
      <c r="F38">
        <v>2</v>
      </c>
      <c r="G38" s="64">
        <f t="shared" si="1"/>
        <v>0.89473684210526316</v>
      </c>
      <c r="H38">
        <v>136</v>
      </c>
      <c r="I38">
        <v>126</v>
      </c>
      <c r="J38">
        <v>91</v>
      </c>
      <c r="K38" s="98">
        <v>35</v>
      </c>
      <c r="L38" s="98"/>
      <c r="M38" s="64">
        <f t="shared" si="3"/>
        <v>0.72222222222222221</v>
      </c>
      <c r="N38">
        <v>81</v>
      </c>
      <c r="O38" s="66">
        <f t="shared" si="4"/>
        <v>0.89010989010989006</v>
      </c>
      <c r="P38">
        <v>8</v>
      </c>
      <c r="Q38" s="66">
        <f t="shared" si="5"/>
        <v>8.7912087912087919E-2</v>
      </c>
      <c r="R38">
        <v>3</v>
      </c>
      <c r="S38" s="67">
        <f t="shared" si="6"/>
        <v>3.2967032967032968E-2</v>
      </c>
      <c r="T38">
        <v>11</v>
      </c>
      <c r="U38" s="66">
        <f t="shared" si="7"/>
        <v>0.12087912087912088</v>
      </c>
      <c r="V38" s="68">
        <f t="shared" si="8"/>
        <v>0.87912087912087911</v>
      </c>
    </row>
    <row r="39" spans="1:22" ht="15.75" thickBot="1" x14ac:dyDescent="0.3">
      <c r="A39" s="43" t="s">
        <v>47</v>
      </c>
      <c r="B39" t="s">
        <v>35</v>
      </c>
      <c r="C39" t="s">
        <v>36</v>
      </c>
      <c r="D39">
        <v>16</v>
      </c>
      <c r="E39">
        <v>15</v>
      </c>
      <c r="F39">
        <v>1</v>
      </c>
      <c r="G39" s="64">
        <f t="shared" si="1"/>
        <v>0.9375</v>
      </c>
      <c r="H39">
        <v>90</v>
      </c>
      <c r="I39">
        <v>130</v>
      </c>
      <c r="J39">
        <v>92</v>
      </c>
      <c r="K39" s="98">
        <v>38</v>
      </c>
      <c r="L39" s="98"/>
      <c r="M39" s="64">
        <f t="shared" si="3"/>
        <v>0.70769230769230773</v>
      </c>
      <c r="N39">
        <v>81</v>
      </c>
      <c r="O39" s="66">
        <f t="shared" si="4"/>
        <v>0.88043478260869568</v>
      </c>
      <c r="P39">
        <v>101</v>
      </c>
      <c r="Q39" s="66">
        <f t="shared" si="5"/>
        <v>1.0978260869565217</v>
      </c>
      <c r="R39">
        <v>47</v>
      </c>
      <c r="S39" s="67">
        <f t="shared" si="6"/>
        <v>0.51086956521739135</v>
      </c>
      <c r="T39">
        <v>16</v>
      </c>
      <c r="U39" s="66">
        <f t="shared" si="7"/>
        <v>0.17391304347826086</v>
      </c>
      <c r="V39" s="68">
        <f t="shared" si="8"/>
        <v>0.82608695652173914</v>
      </c>
    </row>
    <row r="40" spans="1:22" ht="15.75" thickBot="1" x14ac:dyDescent="0.3">
      <c r="A40" s="43" t="s">
        <v>47</v>
      </c>
      <c r="B40" t="s">
        <v>27</v>
      </c>
      <c r="C40" t="s">
        <v>28</v>
      </c>
      <c r="D40">
        <v>19</v>
      </c>
      <c r="E40">
        <v>19</v>
      </c>
      <c r="F40">
        <v>0</v>
      </c>
      <c r="G40" s="64">
        <f t="shared" si="1"/>
        <v>1</v>
      </c>
      <c r="H40">
        <v>304</v>
      </c>
      <c r="I40">
        <v>76</v>
      </c>
      <c r="J40">
        <v>53</v>
      </c>
      <c r="K40" s="98">
        <v>23</v>
      </c>
      <c r="L40" s="98"/>
      <c r="M40" s="64">
        <f t="shared" si="3"/>
        <v>0.69736842105263153</v>
      </c>
      <c r="N40">
        <v>4</v>
      </c>
      <c r="O40" s="66">
        <f t="shared" si="4"/>
        <v>7.5471698113207544E-2</v>
      </c>
      <c r="P40">
        <v>0</v>
      </c>
      <c r="Q40" s="66">
        <f t="shared" si="5"/>
        <v>0</v>
      </c>
      <c r="R40">
        <v>10</v>
      </c>
      <c r="S40" s="67">
        <f t="shared" si="6"/>
        <v>0.18867924528301888</v>
      </c>
      <c r="T40">
        <v>4</v>
      </c>
      <c r="U40" s="66">
        <f t="shared" si="7"/>
        <v>7.5471698113207544E-2</v>
      </c>
      <c r="V40" s="68">
        <f t="shared" si="8"/>
        <v>0.92452830188679247</v>
      </c>
    </row>
    <row r="41" spans="1:22" ht="15.75" thickBot="1" x14ac:dyDescent="0.3">
      <c r="A41" s="43" t="s">
        <v>47</v>
      </c>
      <c r="B41" t="s">
        <v>27</v>
      </c>
      <c r="C41" t="s">
        <v>29</v>
      </c>
      <c r="D41">
        <v>19</v>
      </c>
      <c r="E41">
        <v>15</v>
      </c>
      <c r="F41">
        <v>4</v>
      </c>
      <c r="G41" s="64">
        <f t="shared" si="1"/>
        <v>0.78947368421052633</v>
      </c>
      <c r="H41">
        <v>120</v>
      </c>
      <c r="I41">
        <v>34</v>
      </c>
      <c r="J41">
        <v>29</v>
      </c>
      <c r="K41" s="98">
        <v>5</v>
      </c>
      <c r="L41" s="98"/>
      <c r="M41" s="64">
        <f t="shared" si="3"/>
        <v>0.8529411764705882</v>
      </c>
      <c r="N41">
        <v>1</v>
      </c>
      <c r="O41" s="66">
        <f t="shared" si="4"/>
        <v>3.4482758620689655E-2</v>
      </c>
      <c r="P41">
        <v>0</v>
      </c>
      <c r="Q41" s="66">
        <f t="shared" si="5"/>
        <v>0</v>
      </c>
      <c r="R41">
        <v>6</v>
      </c>
      <c r="S41" s="67">
        <f t="shared" si="6"/>
        <v>0.20689655172413793</v>
      </c>
      <c r="T41">
        <v>0</v>
      </c>
      <c r="U41" s="66">
        <f t="shared" si="7"/>
        <v>0</v>
      </c>
      <c r="V41" s="68">
        <f t="shared" si="8"/>
        <v>1</v>
      </c>
    </row>
    <row r="42" spans="1:22" ht="15.75" thickBot="1" x14ac:dyDescent="0.3">
      <c r="A42" s="43" t="s">
        <v>47</v>
      </c>
      <c r="B42" t="s">
        <v>27</v>
      </c>
      <c r="C42" t="s">
        <v>33</v>
      </c>
      <c r="D42">
        <v>19</v>
      </c>
      <c r="E42">
        <v>12</v>
      </c>
      <c r="F42">
        <v>7</v>
      </c>
      <c r="G42" s="64">
        <f t="shared" si="1"/>
        <v>0.63157894736842102</v>
      </c>
      <c r="H42">
        <v>96</v>
      </c>
      <c r="I42">
        <v>29</v>
      </c>
      <c r="J42">
        <v>22</v>
      </c>
      <c r="K42" s="98">
        <v>7</v>
      </c>
      <c r="L42" s="98"/>
      <c r="M42" s="64">
        <f t="shared" si="3"/>
        <v>0.75862068965517238</v>
      </c>
      <c r="N42">
        <v>1</v>
      </c>
      <c r="O42" s="66">
        <f t="shared" si="4"/>
        <v>4.5454545454545456E-2</v>
      </c>
      <c r="P42">
        <v>0</v>
      </c>
      <c r="Q42" s="66">
        <f t="shared" si="5"/>
        <v>0</v>
      </c>
      <c r="R42">
        <v>2</v>
      </c>
      <c r="S42" s="67">
        <f t="shared" si="6"/>
        <v>9.0909090909090912E-2</v>
      </c>
      <c r="T42">
        <v>1</v>
      </c>
      <c r="U42" s="66">
        <f t="shared" si="7"/>
        <v>4.5454545454545456E-2</v>
      </c>
      <c r="V42" s="68">
        <f t="shared" si="8"/>
        <v>0.95454545454545459</v>
      </c>
    </row>
    <row r="43" spans="1:22" ht="15.75" thickBot="1" x14ac:dyDescent="0.3">
      <c r="A43" s="43" t="s">
        <v>47</v>
      </c>
      <c r="B43" t="s">
        <v>30</v>
      </c>
      <c r="C43" t="s">
        <v>31</v>
      </c>
      <c r="D43">
        <v>14</v>
      </c>
      <c r="E43">
        <v>14</v>
      </c>
      <c r="F43">
        <v>0</v>
      </c>
      <c r="G43" s="64">
        <f t="shared" si="1"/>
        <v>1</v>
      </c>
      <c r="H43">
        <v>112</v>
      </c>
      <c r="I43">
        <v>60</v>
      </c>
      <c r="J43">
        <v>40</v>
      </c>
      <c r="K43" s="99">
        <v>20</v>
      </c>
      <c r="L43" s="99"/>
      <c r="M43" s="64">
        <f t="shared" si="3"/>
        <v>0.66666666666666663</v>
      </c>
      <c r="N43">
        <v>0</v>
      </c>
      <c r="O43" s="66">
        <f t="shared" si="4"/>
        <v>0</v>
      </c>
      <c r="P43">
        <v>0</v>
      </c>
      <c r="Q43" s="66">
        <f t="shared" si="5"/>
        <v>0</v>
      </c>
      <c r="R43">
        <v>0</v>
      </c>
      <c r="S43" s="67">
        <f t="shared" si="6"/>
        <v>0</v>
      </c>
      <c r="T43">
        <v>1</v>
      </c>
      <c r="U43" s="66">
        <f t="shared" si="7"/>
        <v>2.5000000000000001E-2</v>
      </c>
      <c r="V43" s="68">
        <f t="shared" si="8"/>
        <v>0.97499999999999998</v>
      </c>
    </row>
    <row r="44" spans="1:22" s="69" customFormat="1" ht="60.75" thickBot="1" x14ac:dyDescent="0.3">
      <c r="A44" s="69" t="s">
        <v>48</v>
      </c>
      <c r="B44" t="s">
        <v>22</v>
      </c>
      <c r="C44" s="8" t="s">
        <v>23</v>
      </c>
      <c r="D44" s="9">
        <v>18</v>
      </c>
      <c r="E44" s="10">
        <v>15</v>
      </c>
      <c r="F44" s="11">
        <f>D44-E44</f>
        <v>3</v>
      </c>
      <c r="G44" s="64">
        <f t="shared" si="1"/>
        <v>0.83333333333333337</v>
      </c>
      <c r="H44" s="9">
        <f>E44*4*3</f>
        <v>180</v>
      </c>
      <c r="I44" s="11">
        <f>J44+K44</f>
        <v>126</v>
      </c>
      <c r="J44" s="70">
        <v>98</v>
      </c>
      <c r="K44" s="75">
        <v>28</v>
      </c>
      <c r="L44" s="76"/>
      <c r="M44" s="64">
        <f t="shared" si="3"/>
        <v>0.77777777777777779</v>
      </c>
      <c r="N44" s="12">
        <v>72</v>
      </c>
      <c r="O44" s="66">
        <f t="shared" si="4"/>
        <v>0.73469387755102045</v>
      </c>
      <c r="P44" s="11">
        <v>35</v>
      </c>
      <c r="Q44" s="66">
        <f t="shared" si="5"/>
        <v>0.35714285714285715</v>
      </c>
      <c r="R44" s="11">
        <v>11</v>
      </c>
      <c r="S44" s="67">
        <f t="shared" si="6"/>
        <v>0.11224489795918367</v>
      </c>
      <c r="T44" s="9">
        <v>19</v>
      </c>
      <c r="U44" s="66">
        <f t="shared" si="7"/>
        <v>0.19387755102040816</v>
      </c>
      <c r="V44" s="68">
        <f t="shared" si="8"/>
        <v>0.80612244897959184</v>
      </c>
    </row>
    <row r="45" spans="1:22" ht="45.75" thickBot="1" x14ac:dyDescent="0.3">
      <c r="A45" s="69" t="s">
        <v>48</v>
      </c>
      <c r="B45" t="s">
        <v>22</v>
      </c>
      <c r="C45" s="13" t="s">
        <v>24</v>
      </c>
      <c r="D45" s="14">
        <v>18</v>
      </c>
      <c r="E45" s="15">
        <v>16</v>
      </c>
      <c r="F45" s="11">
        <f t="shared" ref="F45:F48" si="23">D45-E45</f>
        <v>2</v>
      </c>
      <c r="G45" s="64">
        <f t="shared" si="1"/>
        <v>0.88888888888888884</v>
      </c>
      <c r="H45" s="14">
        <f>E45*4*2</f>
        <v>128</v>
      </c>
      <c r="I45" s="11">
        <f>J45+K45</f>
        <v>134</v>
      </c>
      <c r="J45" s="70">
        <v>101</v>
      </c>
      <c r="K45" s="75">
        <v>33</v>
      </c>
      <c r="L45" s="76"/>
      <c r="M45" s="64">
        <f t="shared" si="3"/>
        <v>0.75373134328358204</v>
      </c>
      <c r="N45" s="17">
        <v>124</v>
      </c>
      <c r="O45" s="66">
        <f t="shared" si="4"/>
        <v>1.2277227722772277</v>
      </c>
      <c r="P45" s="16">
        <v>67</v>
      </c>
      <c r="Q45" s="66">
        <f t="shared" si="5"/>
        <v>0.6633663366336634</v>
      </c>
      <c r="R45" s="16">
        <v>11</v>
      </c>
      <c r="S45" s="67">
        <f t="shared" si="6"/>
        <v>0.10891089108910891</v>
      </c>
      <c r="T45" s="14">
        <v>19</v>
      </c>
      <c r="U45" s="66">
        <f t="shared" si="7"/>
        <v>0.18811881188118812</v>
      </c>
      <c r="V45" s="68">
        <f t="shared" si="8"/>
        <v>0.81188118811881194</v>
      </c>
    </row>
    <row r="46" spans="1:22" ht="60.75" thickBot="1" x14ac:dyDescent="0.3">
      <c r="A46" s="69" t="s">
        <v>48</v>
      </c>
      <c r="B46" t="s">
        <v>22</v>
      </c>
      <c r="C46" s="8" t="s">
        <v>25</v>
      </c>
      <c r="D46" s="9">
        <v>18</v>
      </c>
      <c r="E46" s="10">
        <v>17</v>
      </c>
      <c r="F46" s="11">
        <f t="shared" si="23"/>
        <v>1</v>
      </c>
      <c r="G46" s="64">
        <f t="shared" si="1"/>
        <v>0.94444444444444442</v>
      </c>
      <c r="H46" s="9">
        <f>E46*4*2</f>
        <v>136</v>
      </c>
      <c r="I46" s="11">
        <f>J46+K46</f>
        <v>102</v>
      </c>
      <c r="J46" s="70">
        <v>83</v>
      </c>
      <c r="K46" s="75">
        <v>19</v>
      </c>
      <c r="L46" s="76"/>
      <c r="M46" s="64">
        <f t="shared" si="3"/>
        <v>0.81372549019607843</v>
      </c>
      <c r="N46" s="12">
        <v>165</v>
      </c>
      <c r="O46" s="66">
        <f t="shared" si="4"/>
        <v>1.9879518072289157</v>
      </c>
      <c r="P46" s="11">
        <v>31</v>
      </c>
      <c r="Q46" s="66">
        <f t="shared" si="5"/>
        <v>0.37349397590361444</v>
      </c>
      <c r="R46" s="11">
        <v>16</v>
      </c>
      <c r="S46" s="67">
        <f t="shared" si="6"/>
        <v>0.19277108433734941</v>
      </c>
      <c r="T46" s="9">
        <v>13</v>
      </c>
      <c r="U46" s="66">
        <f t="shared" si="7"/>
        <v>0.15662650602409639</v>
      </c>
      <c r="V46" s="68">
        <f t="shared" si="8"/>
        <v>0.84337349397590367</v>
      </c>
    </row>
    <row r="47" spans="1:22" ht="60.75" thickBot="1" x14ac:dyDescent="0.3">
      <c r="A47" s="69" t="s">
        <v>48</v>
      </c>
      <c r="B47" t="s">
        <v>22</v>
      </c>
      <c r="C47" s="8" t="s">
        <v>26</v>
      </c>
      <c r="D47" s="9">
        <v>18</v>
      </c>
      <c r="E47" s="10">
        <v>14</v>
      </c>
      <c r="F47" s="11">
        <f t="shared" si="23"/>
        <v>4</v>
      </c>
      <c r="G47" s="64">
        <f t="shared" si="1"/>
        <v>0.77777777777777779</v>
      </c>
      <c r="H47" s="9">
        <f>E47*4*2</f>
        <v>112</v>
      </c>
      <c r="I47" s="11">
        <f t="shared" ref="I47:I52" si="24">J47+K47</f>
        <v>86</v>
      </c>
      <c r="J47" s="70">
        <v>65</v>
      </c>
      <c r="K47" s="75">
        <v>21</v>
      </c>
      <c r="L47" s="76"/>
      <c r="M47" s="64">
        <f t="shared" si="3"/>
        <v>0.7558139534883721</v>
      </c>
      <c r="N47" s="12">
        <v>134</v>
      </c>
      <c r="O47" s="66">
        <f t="shared" si="4"/>
        <v>2.0615384615384613</v>
      </c>
      <c r="P47" s="11">
        <v>13</v>
      </c>
      <c r="Q47" s="66">
        <f t="shared" si="5"/>
        <v>0.2</v>
      </c>
      <c r="R47" s="11">
        <v>4</v>
      </c>
      <c r="S47" s="67">
        <f t="shared" si="6"/>
        <v>6.1538461538461542E-2</v>
      </c>
      <c r="T47" s="9">
        <v>10</v>
      </c>
      <c r="U47" s="66">
        <f t="shared" si="7"/>
        <v>0.15384615384615385</v>
      </c>
      <c r="V47" s="68">
        <f t="shared" si="8"/>
        <v>0.84615384615384615</v>
      </c>
    </row>
    <row r="48" spans="1:22" ht="45.75" thickBot="1" x14ac:dyDescent="0.3">
      <c r="A48" s="69" t="s">
        <v>48</v>
      </c>
      <c r="B48" t="s">
        <v>35</v>
      </c>
      <c r="C48" s="8" t="s">
        <v>36</v>
      </c>
      <c r="D48" s="9">
        <v>18</v>
      </c>
      <c r="E48" s="10">
        <v>16</v>
      </c>
      <c r="F48" s="11">
        <f t="shared" si="23"/>
        <v>2</v>
      </c>
      <c r="G48" s="64">
        <f t="shared" si="1"/>
        <v>0.88888888888888884</v>
      </c>
      <c r="H48" s="9">
        <f>E48*3*2</f>
        <v>96</v>
      </c>
      <c r="I48" s="11">
        <f t="shared" si="24"/>
        <v>116</v>
      </c>
      <c r="J48" s="70">
        <v>93</v>
      </c>
      <c r="K48" s="75">
        <v>23</v>
      </c>
      <c r="L48" s="76"/>
      <c r="M48" s="64">
        <f t="shared" si="3"/>
        <v>0.80172413793103448</v>
      </c>
      <c r="N48" s="12">
        <v>147</v>
      </c>
      <c r="O48" s="66">
        <f t="shared" si="4"/>
        <v>1.5806451612903225</v>
      </c>
      <c r="P48" s="11">
        <v>113</v>
      </c>
      <c r="Q48" s="66">
        <f t="shared" si="5"/>
        <v>1.2150537634408602</v>
      </c>
      <c r="R48" s="11">
        <v>40</v>
      </c>
      <c r="S48" s="67">
        <f t="shared" si="6"/>
        <v>0.43010752688172044</v>
      </c>
      <c r="T48" s="9">
        <v>15</v>
      </c>
      <c r="U48" s="66">
        <f t="shared" si="7"/>
        <v>0.16129032258064516</v>
      </c>
      <c r="V48" s="68">
        <f t="shared" si="8"/>
        <v>0.83870967741935487</v>
      </c>
    </row>
    <row r="49" spans="1:22" ht="16.5" thickTop="1" thickBot="1" x14ac:dyDescent="0.3">
      <c r="A49" s="69" t="s">
        <v>48</v>
      </c>
      <c r="B49" t="s">
        <v>27</v>
      </c>
      <c r="C49" s="13" t="s">
        <v>28</v>
      </c>
      <c r="D49" s="18">
        <v>18</v>
      </c>
      <c r="E49" s="19">
        <v>15</v>
      </c>
      <c r="F49" s="20">
        <f>D49-E49</f>
        <v>3</v>
      </c>
      <c r="G49" s="64">
        <f t="shared" si="1"/>
        <v>0.83333333333333337</v>
      </c>
      <c r="H49" s="18">
        <f>E49*8*2</f>
        <v>240</v>
      </c>
      <c r="I49" s="11">
        <f t="shared" si="24"/>
        <v>62</v>
      </c>
      <c r="J49" s="71">
        <v>48</v>
      </c>
      <c r="K49" s="75">
        <v>14</v>
      </c>
      <c r="L49" s="76"/>
      <c r="M49" s="64">
        <f t="shared" si="3"/>
        <v>0.77419354838709675</v>
      </c>
      <c r="N49" s="21">
        <v>0</v>
      </c>
      <c r="O49" s="66">
        <f t="shared" si="4"/>
        <v>0</v>
      </c>
      <c r="P49" s="20">
        <v>0</v>
      </c>
      <c r="Q49" s="66">
        <f t="shared" si="5"/>
        <v>0</v>
      </c>
      <c r="R49" s="20">
        <v>7</v>
      </c>
      <c r="S49" s="67">
        <f t="shared" si="6"/>
        <v>0.14583333333333334</v>
      </c>
      <c r="T49" s="18">
        <v>14</v>
      </c>
      <c r="U49" s="66">
        <f t="shared" si="7"/>
        <v>0.29166666666666669</v>
      </c>
      <c r="V49" s="68">
        <f t="shared" si="8"/>
        <v>0.70833333333333326</v>
      </c>
    </row>
    <row r="50" spans="1:22" ht="31.5" thickTop="1" thickBot="1" x14ac:dyDescent="0.3">
      <c r="A50" s="69" t="s">
        <v>48</v>
      </c>
      <c r="B50" t="s">
        <v>27</v>
      </c>
      <c r="C50" s="22" t="s">
        <v>29</v>
      </c>
      <c r="D50" s="14">
        <v>18</v>
      </c>
      <c r="E50" s="15">
        <v>13</v>
      </c>
      <c r="F50" s="20">
        <f t="shared" ref="F50:F51" si="25">D50-E50</f>
        <v>5</v>
      </c>
      <c r="G50" s="64">
        <f t="shared" si="1"/>
        <v>0.72222222222222221</v>
      </c>
      <c r="H50" s="14">
        <f>E50*4*2</f>
        <v>104</v>
      </c>
      <c r="I50" s="11">
        <f t="shared" si="24"/>
        <v>34</v>
      </c>
      <c r="J50" s="70">
        <v>26</v>
      </c>
      <c r="K50" s="75">
        <v>8</v>
      </c>
      <c r="L50" s="76"/>
      <c r="M50" s="64">
        <f t="shared" si="3"/>
        <v>0.76470588235294112</v>
      </c>
      <c r="N50" s="17">
        <v>2</v>
      </c>
      <c r="O50" s="66">
        <f t="shared" si="4"/>
        <v>7.6923076923076927E-2</v>
      </c>
      <c r="P50" s="16">
        <v>0</v>
      </c>
      <c r="Q50" s="66">
        <f t="shared" si="5"/>
        <v>0</v>
      </c>
      <c r="R50" s="16">
        <v>7</v>
      </c>
      <c r="S50" s="67">
        <f t="shared" si="6"/>
        <v>0.26923076923076922</v>
      </c>
      <c r="T50" s="14">
        <v>9</v>
      </c>
      <c r="U50" s="66">
        <f t="shared" si="7"/>
        <v>0.34615384615384615</v>
      </c>
      <c r="V50" s="68">
        <f t="shared" si="8"/>
        <v>0.65384615384615385</v>
      </c>
    </row>
    <row r="51" spans="1:22" ht="16.5" thickTop="1" thickBot="1" x14ac:dyDescent="0.3">
      <c r="A51" s="69" t="s">
        <v>48</v>
      </c>
      <c r="B51" t="s">
        <v>27</v>
      </c>
      <c r="C51" s="31" t="s">
        <v>33</v>
      </c>
      <c r="D51" s="32">
        <v>18</v>
      </c>
      <c r="E51" s="33">
        <v>10</v>
      </c>
      <c r="F51" s="20">
        <f t="shared" si="25"/>
        <v>8</v>
      </c>
      <c r="G51" s="64">
        <f t="shared" si="1"/>
        <v>0.55555555555555558</v>
      </c>
      <c r="H51" s="32">
        <f>E51*4*2</f>
        <v>80</v>
      </c>
      <c r="I51" s="11">
        <f t="shared" si="24"/>
        <v>31</v>
      </c>
      <c r="J51" s="72">
        <v>21</v>
      </c>
      <c r="K51" s="75">
        <v>10</v>
      </c>
      <c r="L51" s="76"/>
      <c r="M51" s="64">
        <f t="shared" si="3"/>
        <v>0.67741935483870963</v>
      </c>
      <c r="N51" s="35">
        <v>2</v>
      </c>
      <c r="O51" s="66">
        <f t="shared" si="4"/>
        <v>9.5238095238095233E-2</v>
      </c>
      <c r="P51" s="34">
        <v>0</v>
      </c>
      <c r="Q51" s="66">
        <f t="shared" si="5"/>
        <v>0</v>
      </c>
      <c r="R51" s="34">
        <v>2</v>
      </c>
      <c r="S51" s="67">
        <f t="shared" si="6"/>
        <v>9.5238095238095233E-2</v>
      </c>
      <c r="T51" s="32">
        <v>4</v>
      </c>
      <c r="U51" s="66">
        <f t="shared" si="7"/>
        <v>0.19047619047619047</v>
      </c>
      <c r="V51" s="68">
        <f t="shared" si="8"/>
        <v>0.80952380952380953</v>
      </c>
    </row>
    <row r="52" spans="1:22" ht="46.5" thickTop="1" thickBot="1" x14ac:dyDescent="0.3">
      <c r="A52" s="69" t="s">
        <v>48</v>
      </c>
      <c r="B52" t="s">
        <v>30</v>
      </c>
      <c r="C52" s="44" t="s">
        <v>31</v>
      </c>
      <c r="D52" s="45">
        <v>16</v>
      </c>
      <c r="E52" s="46">
        <v>12</v>
      </c>
      <c r="F52" s="47">
        <f>D52-E52</f>
        <v>4</v>
      </c>
      <c r="G52" s="64">
        <f t="shared" si="1"/>
        <v>0.75</v>
      </c>
      <c r="H52" s="45">
        <f>E52*4*2</f>
        <v>96</v>
      </c>
      <c r="I52" s="11">
        <f t="shared" si="24"/>
        <v>65</v>
      </c>
      <c r="J52" s="73">
        <v>43</v>
      </c>
      <c r="K52" s="75">
        <v>22</v>
      </c>
      <c r="L52" s="76"/>
      <c r="M52" s="64">
        <f t="shared" si="3"/>
        <v>0.66153846153846152</v>
      </c>
      <c r="N52" s="50">
        <v>0</v>
      </c>
      <c r="O52" s="66">
        <f t="shared" si="4"/>
        <v>0</v>
      </c>
      <c r="P52" s="49">
        <v>0</v>
      </c>
      <c r="Q52" s="66">
        <f t="shared" si="5"/>
        <v>0</v>
      </c>
      <c r="R52" s="49">
        <v>0</v>
      </c>
      <c r="S52" s="67">
        <f t="shared" si="6"/>
        <v>0</v>
      </c>
      <c r="T52" s="51">
        <v>1</v>
      </c>
      <c r="U52" s="66">
        <f t="shared" si="7"/>
        <v>2.3255813953488372E-2</v>
      </c>
      <c r="V52" s="68">
        <f t="shared" si="8"/>
        <v>0.97674418604651159</v>
      </c>
    </row>
    <row r="53" spans="1:22" ht="60.75" thickBot="1" x14ac:dyDescent="0.3">
      <c r="A53" s="43" t="s">
        <v>49</v>
      </c>
      <c r="B53" t="s">
        <v>22</v>
      </c>
      <c r="C53" s="8" t="s">
        <v>23</v>
      </c>
      <c r="D53" s="9">
        <v>13</v>
      </c>
      <c r="E53" s="10">
        <v>13</v>
      </c>
      <c r="F53" s="11">
        <f>D53-E53</f>
        <v>0</v>
      </c>
      <c r="G53" s="64">
        <f t="shared" si="1"/>
        <v>1</v>
      </c>
      <c r="H53" s="9">
        <f>E53*4*3</f>
        <v>156</v>
      </c>
      <c r="I53" s="11">
        <f>J53+K53</f>
        <v>101</v>
      </c>
      <c r="J53" s="70">
        <v>85</v>
      </c>
      <c r="K53" s="75">
        <v>16</v>
      </c>
      <c r="L53" s="76"/>
      <c r="M53" s="64">
        <f t="shared" si="3"/>
        <v>0.84158415841584155</v>
      </c>
      <c r="N53" s="12">
        <v>65</v>
      </c>
      <c r="O53" s="66">
        <f t="shared" si="4"/>
        <v>0.76470588235294112</v>
      </c>
      <c r="P53" s="11">
        <v>57</v>
      </c>
      <c r="Q53" s="66">
        <f t="shared" si="5"/>
        <v>0.6705882352941176</v>
      </c>
      <c r="R53" s="11">
        <v>11</v>
      </c>
      <c r="S53" s="67">
        <f t="shared" si="6"/>
        <v>0.12941176470588237</v>
      </c>
      <c r="T53" s="9">
        <v>21</v>
      </c>
      <c r="U53" s="66">
        <f t="shared" si="7"/>
        <v>0.24705882352941178</v>
      </c>
      <c r="V53" s="68">
        <f t="shared" si="8"/>
        <v>0.75294117647058822</v>
      </c>
    </row>
    <row r="54" spans="1:22" ht="45.75" thickBot="1" x14ac:dyDescent="0.3">
      <c r="A54" s="43" t="s">
        <v>49</v>
      </c>
      <c r="B54" t="s">
        <v>22</v>
      </c>
      <c r="C54" s="13" t="s">
        <v>24</v>
      </c>
      <c r="D54" s="14">
        <v>13</v>
      </c>
      <c r="E54" s="15">
        <v>13</v>
      </c>
      <c r="F54" s="11">
        <f t="shared" ref="F54:F57" si="26">D54-E54</f>
        <v>0</v>
      </c>
      <c r="G54" s="64">
        <f t="shared" si="1"/>
        <v>1</v>
      </c>
      <c r="H54" s="14">
        <f>E54*4*2</f>
        <v>104</v>
      </c>
      <c r="I54" s="11">
        <f>J54+K54</f>
        <v>105</v>
      </c>
      <c r="J54" s="70">
        <v>82</v>
      </c>
      <c r="K54" s="75">
        <v>23</v>
      </c>
      <c r="L54" s="76"/>
      <c r="M54" s="64">
        <f t="shared" si="3"/>
        <v>0.78095238095238095</v>
      </c>
      <c r="N54" s="17">
        <v>106</v>
      </c>
      <c r="O54" s="66">
        <f t="shared" si="4"/>
        <v>1.2926829268292683</v>
      </c>
      <c r="P54" s="16">
        <v>190</v>
      </c>
      <c r="Q54" s="66">
        <f t="shared" si="5"/>
        <v>2.3170731707317072</v>
      </c>
      <c r="R54" s="16">
        <v>8</v>
      </c>
      <c r="S54" s="67">
        <f t="shared" si="6"/>
        <v>9.7560975609756101E-2</v>
      </c>
      <c r="T54" s="14">
        <v>12</v>
      </c>
      <c r="U54" s="66">
        <f t="shared" si="7"/>
        <v>0.14634146341463414</v>
      </c>
      <c r="V54" s="68">
        <f t="shared" si="8"/>
        <v>0.85365853658536583</v>
      </c>
    </row>
    <row r="55" spans="1:22" ht="60.75" thickBot="1" x14ac:dyDescent="0.3">
      <c r="A55" s="43" t="s">
        <v>49</v>
      </c>
      <c r="B55" t="s">
        <v>22</v>
      </c>
      <c r="C55" s="8" t="s">
        <v>25</v>
      </c>
      <c r="D55" s="9">
        <v>13</v>
      </c>
      <c r="E55" s="10">
        <v>13</v>
      </c>
      <c r="F55" s="11">
        <f t="shared" si="26"/>
        <v>0</v>
      </c>
      <c r="G55" s="64">
        <f t="shared" si="1"/>
        <v>1</v>
      </c>
      <c r="H55" s="9">
        <f>E55*4*2</f>
        <v>104</v>
      </c>
      <c r="I55" s="11">
        <f>J55+K55</f>
        <v>72</v>
      </c>
      <c r="J55" s="70">
        <v>56</v>
      </c>
      <c r="K55" s="75">
        <v>16</v>
      </c>
      <c r="L55" s="76"/>
      <c r="M55" s="64">
        <f t="shared" si="3"/>
        <v>0.77777777777777779</v>
      </c>
      <c r="N55" s="12">
        <v>119</v>
      </c>
      <c r="O55" s="66">
        <f t="shared" si="4"/>
        <v>2.125</v>
      </c>
      <c r="P55" s="11">
        <v>61</v>
      </c>
      <c r="Q55" s="66">
        <f t="shared" si="5"/>
        <v>1.0892857142857142</v>
      </c>
      <c r="R55" s="11">
        <v>5</v>
      </c>
      <c r="S55" s="67">
        <f t="shared" si="6"/>
        <v>8.9285714285714288E-2</v>
      </c>
      <c r="T55" s="9">
        <v>8</v>
      </c>
      <c r="U55" s="66">
        <f t="shared" si="7"/>
        <v>0.14285714285714285</v>
      </c>
      <c r="V55" s="68">
        <f t="shared" si="8"/>
        <v>0.85714285714285721</v>
      </c>
    </row>
    <row r="56" spans="1:22" ht="60.75" thickBot="1" x14ac:dyDescent="0.3">
      <c r="A56" s="43" t="s">
        <v>49</v>
      </c>
      <c r="B56" t="s">
        <v>22</v>
      </c>
      <c r="C56" s="8" t="s">
        <v>26</v>
      </c>
      <c r="D56" s="9">
        <v>13</v>
      </c>
      <c r="E56" s="10">
        <v>12</v>
      </c>
      <c r="F56" s="11">
        <f t="shared" si="26"/>
        <v>1</v>
      </c>
      <c r="G56" s="64">
        <f t="shared" si="1"/>
        <v>0.92307692307692313</v>
      </c>
      <c r="H56" s="9">
        <f>E56*4*2</f>
        <v>96</v>
      </c>
      <c r="I56" s="11">
        <f t="shared" ref="I56:I61" si="27">J56+K56</f>
        <v>63</v>
      </c>
      <c r="J56" s="70">
        <v>53</v>
      </c>
      <c r="K56" s="75">
        <v>10</v>
      </c>
      <c r="L56" s="76"/>
      <c r="M56" s="64">
        <f t="shared" si="3"/>
        <v>0.84126984126984128</v>
      </c>
      <c r="N56" s="12">
        <v>120</v>
      </c>
      <c r="O56" s="66">
        <f t="shared" si="4"/>
        <v>2.2641509433962264</v>
      </c>
      <c r="P56" s="11">
        <v>50</v>
      </c>
      <c r="Q56" s="66">
        <f t="shared" si="5"/>
        <v>0.94339622641509435</v>
      </c>
      <c r="R56" s="11">
        <v>0</v>
      </c>
      <c r="S56" s="67">
        <f t="shared" si="6"/>
        <v>0</v>
      </c>
      <c r="T56" s="9">
        <v>8</v>
      </c>
      <c r="U56" s="66">
        <f t="shared" si="7"/>
        <v>0.15094339622641509</v>
      </c>
      <c r="V56" s="68">
        <f t="shared" si="8"/>
        <v>0.84905660377358494</v>
      </c>
    </row>
    <row r="57" spans="1:22" ht="45.75" thickBot="1" x14ac:dyDescent="0.3">
      <c r="A57" s="43" t="s">
        <v>49</v>
      </c>
      <c r="B57" t="s">
        <v>35</v>
      </c>
      <c r="C57" s="8" t="s">
        <v>36</v>
      </c>
      <c r="D57" s="9">
        <v>10</v>
      </c>
      <c r="E57" s="10">
        <v>10</v>
      </c>
      <c r="F57" s="11">
        <f t="shared" si="26"/>
        <v>0</v>
      </c>
      <c r="G57" s="64">
        <f t="shared" si="1"/>
        <v>1</v>
      </c>
      <c r="H57" s="9">
        <f>E57*3*2</f>
        <v>60</v>
      </c>
      <c r="I57" s="11">
        <f t="shared" si="27"/>
        <v>86</v>
      </c>
      <c r="J57" s="70">
        <v>73</v>
      </c>
      <c r="K57" s="75">
        <v>13</v>
      </c>
      <c r="L57" s="76"/>
      <c r="M57" s="64">
        <f t="shared" si="3"/>
        <v>0.84883720930232553</v>
      </c>
      <c r="N57" s="12">
        <v>103</v>
      </c>
      <c r="O57" s="66">
        <f t="shared" si="4"/>
        <v>1.4109589041095891</v>
      </c>
      <c r="P57" s="11">
        <v>102</v>
      </c>
      <c r="Q57" s="66">
        <f t="shared" si="5"/>
        <v>1.3972602739726028</v>
      </c>
      <c r="R57" s="11">
        <v>29</v>
      </c>
      <c r="S57" s="67">
        <f t="shared" si="6"/>
        <v>0.39726027397260272</v>
      </c>
      <c r="T57" s="9">
        <v>12</v>
      </c>
      <c r="U57" s="66">
        <f t="shared" si="7"/>
        <v>0.16438356164383561</v>
      </c>
      <c r="V57" s="68">
        <f t="shared" si="8"/>
        <v>0.83561643835616439</v>
      </c>
    </row>
    <row r="58" spans="1:22" ht="16.5" thickTop="1" thickBot="1" x14ac:dyDescent="0.3">
      <c r="A58" s="43" t="s">
        <v>49</v>
      </c>
      <c r="B58" t="s">
        <v>27</v>
      </c>
      <c r="C58" s="13" t="s">
        <v>28</v>
      </c>
      <c r="D58" s="18">
        <v>13</v>
      </c>
      <c r="E58" s="19">
        <v>13</v>
      </c>
      <c r="F58" s="20">
        <f>D58-E58</f>
        <v>0</v>
      </c>
      <c r="G58" s="64">
        <f t="shared" si="1"/>
        <v>1</v>
      </c>
      <c r="H58" s="18">
        <f>E58*8*2</f>
        <v>208</v>
      </c>
      <c r="I58" s="11">
        <f t="shared" si="27"/>
        <v>65</v>
      </c>
      <c r="J58" s="71">
        <v>55</v>
      </c>
      <c r="K58" s="75">
        <v>10</v>
      </c>
      <c r="L58" s="76"/>
      <c r="M58" s="64">
        <f t="shared" si="3"/>
        <v>0.84615384615384615</v>
      </c>
      <c r="N58" s="21">
        <v>3</v>
      </c>
      <c r="O58" s="66">
        <f t="shared" si="4"/>
        <v>5.4545454545454543E-2</v>
      </c>
      <c r="P58" s="20">
        <v>0</v>
      </c>
      <c r="Q58" s="66">
        <f t="shared" si="5"/>
        <v>0</v>
      </c>
      <c r="R58" s="20">
        <v>6</v>
      </c>
      <c r="S58" s="67">
        <f t="shared" si="6"/>
        <v>0.10909090909090909</v>
      </c>
      <c r="T58" s="18">
        <v>6</v>
      </c>
      <c r="U58" s="66">
        <f t="shared" si="7"/>
        <v>0.10909090909090909</v>
      </c>
      <c r="V58" s="68">
        <f t="shared" si="8"/>
        <v>0.89090909090909087</v>
      </c>
    </row>
    <row r="59" spans="1:22" ht="31.5" thickTop="1" thickBot="1" x14ac:dyDescent="0.3">
      <c r="A59" s="43" t="s">
        <v>49</v>
      </c>
      <c r="B59" t="s">
        <v>27</v>
      </c>
      <c r="C59" s="22" t="s">
        <v>29</v>
      </c>
      <c r="D59" s="14">
        <v>13</v>
      </c>
      <c r="E59" s="15">
        <v>13</v>
      </c>
      <c r="F59" s="20">
        <f t="shared" ref="F59:F60" si="28">D59-E59</f>
        <v>0</v>
      </c>
      <c r="G59" s="64">
        <f t="shared" si="1"/>
        <v>1</v>
      </c>
      <c r="H59" s="14">
        <f>E59*4*2</f>
        <v>104</v>
      </c>
      <c r="I59" s="11">
        <f t="shared" si="27"/>
        <v>45</v>
      </c>
      <c r="J59" s="70">
        <v>36</v>
      </c>
      <c r="K59" s="75">
        <v>9</v>
      </c>
      <c r="L59" s="76"/>
      <c r="M59" s="64">
        <f t="shared" si="3"/>
        <v>0.8</v>
      </c>
      <c r="N59" s="17">
        <v>0</v>
      </c>
      <c r="O59" s="66">
        <f t="shared" si="4"/>
        <v>0</v>
      </c>
      <c r="P59" s="16">
        <v>0</v>
      </c>
      <c r="Q59" s="66">
        <f t="shared" si="5"/>
        <v>0</v>
      </c>
      <c r="R59" s="16">
        <v>7</v>
      </c>
      <c r="S59" s="67">
        <f t="shared" si="6"/>
        <v>0.19444444444444445</v>
      </c>
      <c r="T59" s="14">
        <v>1</v>
      </c>
      <c r="U59" s="66">
        <f t="shared" si="7"/>
        <v>2.7777777777777776E-2</v>
      </c>
      <c r="V59" s="68">
        <f t="shared" si="8"/>
        <v>0.97222222222222221</v>
      </c>
    </row>
    <row r="60" spans="1:22" ht="16.5" thickTop="1" thickBot="1" x14ac:dyDescent="0.3">
      <c r="A60" s="43" t="s">
        <v>49</v>
      </c>
      <c r="B60" t="s">
        <v>27</v>
      </c>
      <c r="C60" s="31" t="s">
        <v>33</v>
      </c>
      <c r="D60" s="32">
        <v>13</v>
      </c>
      <c r="E60" s="33">
        <v>8</v>
      </c>
      <c r="F60" s="20">
        <f t="shared" si="28"/>
        <v>5</v>
      </c>
      <c r="G60" s="64">
        <f t="shared" si="1"/>
        <v>0.61538461538461542</v>
      </c>
      <c r="H60" s="32">
        <f>E60*4*2</f>
        <v>64</v>
      </c>
      <c r="I60" s="11">
        <f t="shared" si="27"/>
        <v>19</v>
      </c>
      <c r="J60" s="72">
        <v>12</v>
      </c>
      <c r="K60" s="75">
        <v>7</v>
      </c>
      <c r="L60" s="76"/>
      <c r="M60" s="64">
        <f t="shared" si="3"/>
        <v>0.63157894736842102</v>
      </c>
      <c r="N60" s="35">
        <v>0</v>
      </c>
      <c r="O60" s="66">
        <f t="shared" si="4"/>
        <v>0</v>
      </c>
      <c r="P60" s="34">
        <v>0</v>
      </c>
      <c r="Q60" s="66">
        <f t="shared" si="5"/>
        <v>0</v>
      </c>
      <c r="R60" s="34">
        <v>1</v>
      </c>
      <c r="S60" s="67">
        <f t="shared" si="6"/>
        <v>8.3333333333333329E-2</v>
      </c>
      <c r="T60" s="32">
        <v>0</v>
      </c>
      <c r="U60" s="66">
        <f t="shared" si="7"/>
        <v>0</v>
      </c>
      <c r="V60" s="68">
        <f t="shared" si="8"/>
        <v>1</v>
      </c>
    </row>
    <row r="61" spans="1:22" ht="46.5" thickTop="1" thickBot="1" x14ac:dyDescent="0.3">
      <c r="A61" s="43" t="s">
        <v>49</v>
      </c>
      <c r="B61" t="s">
        <v>30</v>
      </c>
      <c r="C61" s="44" t="s">
        <v>31</v>
      </c>
      <c r="D61" s="45">
        <v>8</v>
      </c>
      <c r="E61" s="46">
        <v>7</v>
      </c>
      <c r="F61" s="47">
        <f>D61-E61</f>
        <v>1</v>
      </c>
      <c r="G61" s="64">
        <f t="shared" si="1"/>
        <v>0.875</v>
      </c>
      <c r="H61" s="45">
        <f>E61*4*2</f>
        <v>56</v>
      </c>
      <c r="I61" s="11">
        <f t="shared" si="27"/>
        <v>33</v>
      </c>
      <c r="J61" s="73">
        <v>20</v>
      </c>
      <c r="K61" s="75">
        <v>13</v>
      </c>
      <c r="L61" s="76"/>
      <c r="M61" s="64">
        <f t="shared" si="3"/>
        <v>0.60606060606060608</v>
      </c>
      <c r="N61" s="35">
        <v>0</v>
      </c>
      <c r="O61" s="66">
        <f t="shared" si="4"/>
        <v>0</v>
      </c>
      <c r="P61" s="34">
        <v>0</v>
      </c>
      <c r="Q61" s="66">
        <f t="shared" si="5"/>
        <v>0</v>
      </c>
      <c r="R61" s="49">
        <v>0</v>
      </c>
      <c r="S61" s="67">
        <f t="shared" si="6"/>
        <v>0</v>
      </c>
      <c r="T61" s="51">
        <v>1</v>
      </c>
      <c r="U61" s="66">
        <f t="shared" si="7"/>
        <v>0.05</v>
      </c>
      <c r="V61" s="68">
        <f t="shared" si="8"/>
        <v>0.95</v>
      </c>
    </row>
    <row r="62" spans="1:22" ht="60.75" thickBot="1" x14ac:dyDescent="0.3">
      <c r="A62" s="74" t="s">
        <v>50</v>
      </c>
      <c r="B62" t="s">
        <v>22</v>
      </c>
      <c r="C62" s="8" t="s">
        <v>23</v>
      </c>
      <c r="D62" s="9">
        <v>19</v>
      </c>
      <c r="E62" s="10">
        <v>18</v>
      </c>
      <c r="F62" s="11">
        <f>D62-E62</f>
        <v>1</v>
      </c>
      <c r="G62" s="64">
        <f t="shared" si="1"/>
        <v>0.94736842105263153</v>
      </c>
      <c r="H62" s="9">
        <f>E62*4*3</f>
        <v>216</v>
      </c>
      <c r="I62" s="11">
        <f>J62+K62</f>
        <v>167</v>
      </c>
      <c r="J62" s="70">
        <v>130</v>
      </c>
      <c r="K62" s="75">
        <v>37</v>
      </c>
      <c r="L62" s="76"/>
      <c r="M62" s="64">
        <f t="shared" si="3"/>
        <v>0.77844311377245512</v>
      </c>
      <c r="N62" s="12">
        <v>75</v>
      </c>
      <c r="O62" s="66">
        <f t="shared" si="4"/>
        <v>0.57692307692307687</v>
      </c>
      <c r="P62" s="11">
        <v>33</v>
      </c>
      <c r="Q62" s="66">
        <f t="shared" si="5"/>
        <v>0.25384615384615383</v>
      </c>
      <c r="R62" s="11">
        <v>9</v>
      </c>
      <c r="S62" s="67">
        <f t="shared" si="6"/>
        <v>6.9230769230769235E-2</v>
      </c>
      <c r="T62" s="9">
        <v>16</v>
      </c>
      <c r="U62" s="66">
        <f t="shared" si="7"/>
        <v>0.12307692307692308</v>
      </c>
      <c r="V62" s="68">
        <f t="shared" si="8"/>
        <v>0.87692307692307692</v>
      </c>
    </row>
    <row r="63" spans="1:22" ht="45.75" thickBot="1" x14ac:dyDescent="0.3">
      <c r="A63" s="74" t="s">
        <v>50</v>
      </c>
      <c r="B63" t="s">
        <v>22</v>
      </c>
      <c r="C63" s="13" t="s">
        <v>24</v>
      </c>
      <c r="D63" s="14">
        <v>19</v>
      </c>
      <c r="E63" s="15">
        <v>17</v>
      </c>
      <c r="F63" s="11">
        <f t="shared" ref="F63:F65" si="29">D63-E63</f>
        <v>2</v>
      </c>
      <c r="G63" s="64">
        <f t="shared" si="1"/>
        <v>0.89473684210526316</v>
      </c>
      <c r="H63" s="14">
        <f>E63*4*2</f>
        <v>136</v>
      </c>
      <c r="I63" s="11">
        <f>J63+K63</f>
        <v>142</v>
      </c>
      <c r="J63" s="70">
        <v>105</v>
      </c>
      <c r="K63" s="75">
        <v>37</v>
      </c>
      <c r="L63" s="76"/>
      <c r="M63" s="64">
        <f t="shared" si="3"/>
        <v>0.73943661971830987</v>
      </c>
      <c r="N63" s="17">
        <v>115</v>
      </c>
      <c r="O63" s="66">
        <f t="shared" si="4"/>
        <v>1.0952380952380953</v>
      </c>
      <c r="P63" s="16">
        <v>182</v>
      </c>
      <c r="Q63" s="66">
        <f t="shared" si="5"/>
        <v>1.7333333333333334</v>
      </c>
      <c r="R63" s="16">
        <v>6</v>
      </c>
      <c r="S63" s="67">
        <f t="shared" si="6"/>
        <v>5.7142857142857141E-2</v>
      </c>
      <c r="T63" s="14">
        <v>18</v>
      </c>
      <c r="U63" s="66">
        <f t="shared" si="7"/>
        <v>0.17142857142857143</v>
      </c>
      <c r="V63" s="68">
        <f t="shared" si="8"/>
        <v>0.82857142857142851</v>
      </c>
    </row>
    <row r="64" spans="1:22" ht="60.75" thickBot="1" x14ac:dyDescent="0.3">
      <c r="A64" s="74" t="s">
        <v>50</v>
      </c>
      <c r="B64" t="s">
        <v>22</v>
      </c>
      <c r="C64" s="8" t="s">
        <v>25</v>
      </c>
      <c r="D64" s="9">
        <v>19</v>
      </c>
      <c r="E64" s="10">
        <v>17</v>
      </c>
      <c r="F64" s="11">
        <f t="shared" si="29"/>
        <v>2</v>
      </c>
      <c r="G64" s="64">
        <f t="shared" si="1"/>
        <v>0.89473684210526316</v>
      </c>
      <c r="H64" s="9">
        <f>E64*4*2</f>
        <v>136</v>
      </c>
      <c r="I64" s="11">
        <f>J64+K64</f>
        <v>117</v>
      </c>
      <c r="J64" s="70">
        <v>78</v>
      </c>
      <c r="K64" s="75">
        <v>39</v>
      </c>
      <c r="L64" s="76"/>
      <c r="M64" s="64">
        <f t="shared" si="3"/>
        <v>0.66666666666666663</v>
      </c>
      <c r="N64" s="12">
        <v>118</v>
      </c>
      <c r="O64" s="66">
        <f t="shared" si="4"/>
        <v>1.5128205128205128</v>
      </c>
      <c r="P64" s="11">
        <v>12</v>
      </c>
      <c r="Q64" s="66">
        <f t="shared" si="5"/>
        <v>0.15384615384615385</v>
      </c>
      <c r="R64" s="11">
        <v>4</v>
      </c>
      <c r="S64" s="67">
        <f t="shared" si="6"/>
        <v>5.128205128205128E-2</v>
      </c>
      <c r="T64" s="9">
        <v>6</v>
      </c>
      <c r="U64" s="66">
        <f t="shared" si="7"/>
        <v>7.6923076923076927E-2</v>
      </c>
      <c r="V64" s="68">
        <f t="shared" si="8"/>
        <v>0.92307692307692313</v>
      </c>
    </row>
    <row r="65" spans="1:22" ht="60.75" thickBot="1" x14ac:dyDescent="0.3">
      <c r="A65" s="74" t="s">
        <v>50</v>
      </c>
      <c r="B65" t="s">
        <v>22</v>
      </c>
      <c r="C65" s="8" t="s">
        <v>26</v>
      </c>
      <c r="D65" s="9">
        <v>19</v>
      </c>
      <c r="E65" s="10">
        <v>18</v>
      </c>
      <c r="F65" s="11">
        <f t="shared" si="29"/>
        <v>1</v>
      </c>
      <c r="G65" s="64">
        <f t="shared" si="1"/>
        <v>0.94736842105263153</v>
      </c>
      <c r="H65" s="9">
        <f>E65*4*2</f>
        <v>144</v>
      </c>
      <c r="I65" s="11">
        <f t="shared" ref="I65:I70" si="30">J65+K65</f>
        <v>104</v>
      </c>
      <c r="J65" s="70">
        <v>73</v>
      </c>
      <c r="K65" s="75">
        <v>31</v>
      </c>
      <c r="L65" s="76"/>
      <c r="M65" s="64">
        <f t="shared" si="3"/>
        <v>0.70192307692307687</v>
      </c>
      <c r="N65" s="12">
        <v>91</v>
      </c>
      <c r="O65" s="66">
        <f t="shared" si="4"/>
        <v>1.2465753424657535</v>
      </c>
      <c r="P65" s="11">
        <v>60</v>
      </c>
      <c r="Q65" s="66">
        <f t="shared" si="5"/>
        <v>0.82191780821917804</v>
      </c>
      <c r="R65" s="11">
        <v>3</v>
      </c>
      <c r="S65" s="67">
        <f t="shared" si="6"/>
        <v>4.1095890410958902E-2</v>
      </c>
      <c r="T65" s="9">
        <v>5</v>
      </c>
      <c r="U65" s="66">
        <f t="shared" si="7"/>
        <v>6.8493150684931503E-2</v>
      </c>
      <c r="V65" s="68">
        <f t="shared" si="8"/>
        <v>0.93150684931506844</v>
      </c>
    </row>
    <row r="66" spans="1:22" ht="45.75" thickBot="1" x14ac:dyDescent="0.3">
      <c r="A66" s="74" t="s">
        <v>50</v>
      </c>
      <c r="B66" t="s">
        <v>35</v>
      </c>
      <c r="C66" s="8" t="s">
        <v>36</v>
      </c>
      <c r="D66" s="9">
        <v>19</v>
      </c>
      <c r="E66" s="10">
        <v>17</v>
      </c>
      <c r="F66" s="11">
        <f>D66-E66</f>
        <v>2</v>
      </c>
      <c r="G66" s="64">
        <f t="shared" si="1"/>
        <v>0.89473684210526316</v>
      </c>
      <c r="H66" s="9">
        <f>E66*3*2</f>
        <v>102</v>
      </c>
      <c r="I66" s="11">
        <f t="shared" si="30"/>
        <v>157</v>
      </c>
      <c r="J66" s="70">
        <v>119</v>
      </c>
      <c r="K66" s="75">
        <v>38</v>
      </c>
      <c r="L66" s="76"/>
      <c r="M66" s="64">
        <f t="shared" si="3"/>
        <v>0.7579617834394905</v>
      </c>
      <c r="N66" s="12">
        <v>113</v>
      </c>
      <c r="O66" s="66">
        <f t="shared" si="4"/>
        <v>0.94957983193277307</v>
      </c>
      <c r="P66" s="11">
        <v>160</v>
      </c>
      <c r="Q66" s="66">
        <f t="shared" si="5"/>
        <v>1.3445378151260505</v>
      </c>
      <c r="R66" s="11">
        <v>29</v>
      </c>
      <c r="S66" s="67">
        <f t="shared" si="6"/>
        <v>0.24369747899159663</v>
      </c>
      <c r="T66" s="9">
        <v>17</v>
      </c>
      <c r="U66" s="66">
        <f t="shared" si="7"/>
        <v>0.14285714285714285</v>
      </c>
      <c r="V66" s="68">
        <f t="shared" si="8"/>
        <v>0.85714285714285721</v>
      </c>
    </row>
    <row r="67" spans="1:22" ht="16.5" thickTop="1" thickBot="1" x14ac:dyDescent="0.3">
      <c r="A67" s="74" t="s">
        <v>50</v>
      </c>
      <c r="B67" t="s">
        <v>27</v>
      </c>
      <c r="C67" s="13" t="s">
        <v>28</v>
      </c>
      <c r="D67" s="18">
        <v>19</v>
      </c>
      <c r="E67" s="19">
        <v>19</v>
      </c>
      <c r="F67" s="20">
        <f>D67-E67</f>
        <v>0</v>
      </c>
      <c r="G67" s="64">
        <f t="shared" ref="G67:G79" si="31">E67/D67</f>
        <v>1</v>
      </c>
      <c r="H67" s="18">
        <f>E67*8*2</f>
        <v>304</v>
      </c>
      <c r="I67" s="11">
        <f t="shared" si="30"/>
        <v>104</v>
      </c>
      <c r="J67" s="71">
        <v>77</v>
      </c>
      <c r="K67" s="75">
        <v>27</v>
      </c>
      <c r="L67" s="76"/>
      <c r="M67" s="64">
        <f t="shared" ref="M67:M79" si="32">J67/I67</f>
        <v>0.74038461538461542</v>
      </c>
      <c r="N67" s="21">
        <v>1</v>
      </c>
      <c r="O67" s="66">
        <f t="shared" ref="O67:O79" si="33">N67/J67</f>
        <v>1.2987012987012988E-2</v>
      </c>
      <c r="P67" s="20">
        <v>0</v>
      </c>
      <c r="Q67" s="66">
        <f t="shared" ref="Q67:Q79" si="34">P67/J67</f>
        <v>0</v>
      </c>
      <c r="R67" s="20">
        <v>0</v>
      </c>
      <c r="S67" s="67">
        <f t="shared" ref="S67:S79" si="35">R67/J67</f>
        <v>0</v>
      </c>
      <c r="T67" s="18">
        <v>12</v>
      </c>
      <c r="U67" s="66">
        <f t="shared" ref="U67:U79" si="36">T67/J67</f>
        <v>0.15584415584415584</v>
      </c>
      <c r="V67" s="68">
        <f t="shared" ref="V67:V79" si="37">(1-(T67/J67))</f>
        <v>0.8441558441558441</v>
      </c>
    </row>
    <row r="68" spans="1:22" ht="31.5" thickTop="1" thickBot="1" x14ac:dyDescent="0.3">
      <c r="A68" s="74" t="s">
        <v>50</v>
      </c>
      <c r="B68" t="s">
        <v>27</v>
      </c>
      <c r="C68" s="22" t="s">
        <v>29</v>
      </c>
      <c r="D68" s="14">
        <v>19</v>
      </c>
      <c r="E68" s="15">
        <v>18</v>
      </c>
      <c r="F68" s="20">
        <f t="shared" ref="F68:F69" si="38">D68-E68</f>
        <v>1</v>
      </c>
      <c r="G68" s="64">
        <f t="shared" si="31"/>
        <v>0.94736842105263153</v>
      </c>
      <c r="H68" s="14">
        <f>E68*4*2</f>
        <v>144</v>
      </c>
      <c r="I68" s="11">
        <f t="shared" si="30"/>
        <v>64</v>
      </c>
      <c r="J68" s="70">
        <v>44</v>
      </c>
      <c r="K68" s="77">
        <v>20</v>
      </c>
      <c r="L68" s="78"/>
      <c r="M68" s="64">
        <f t="shared" si="32"/>
        <v>0.6875</v>
      </c>
      <c r="N68" s="17">
        <v>1</v>
      </c>
      <c r="O68" s="66">
        <f t="shared" si="33"/>
        <v>2.2727272727272728E-2</v>
      </c>
      <c r="P68" s="16">
        <v>0</v>
      </c>
      <c r="Q68" s="66">
        <f t="shared" si="34"/>
        <v>0</v>
      </c>
      <c r="R68" s="16">
        <v>0</v>
      </c>
      <c r="S68" s="67">
        <f t="shared" si="35"/>
        <v>0</v>
      </c>
      <c r="T68" s="14">
        <v>4</v>
      </c>
      <c r="U68" s="66">
        <f t="shared" si="36"/>
        <v>9.0909090909090912E-2</v>
      </c>
      <c r="V68" s="68">
        <f t="shared" si="37"/>
        <v>0.90909090909090906</v>
      </c>
    </row>
    <row r="69" spans="1:22" ht="16.5" thickTop="1" thickBot="1" x14ac:dyDescent="0.3">
      <c r="A69" s="74" t="s">
        <v>50</v>
      </c>
      <c r="B69" t="s">
        <v>27</v>
      </c>
      <c r="C69" s="31" t="s">
        <v>33</v>
      </c>
      <c r="D69" s="32">
        <v>19</v>
      </c>
      <c r="E69" s="33">
        <v>13</v>
      </c>
      <c r="F69" s="20">
        <f t="shared" si="38"/>
        <v>6</v>
      </c>
      <c r="G69" s="64">
        <f t="shared" si="31"/>
        <v>0.68421052631578949</v>
      </c>
      <c r="H69" s="32">
        <f>E69*4*2</f>
        <v>104</v>
      </c>
      <c r="I69" s="11">
        <f t="shared" si="30"/>
        <v>43</v>
      </c>
      <c r="J69" s="72">
        <v>24</v>
      </c>
      <c r="K69" s="75">
        <v>19</v>
      </c>
      <c r="L69" s="76"/>
      <c r="M69" s="64">
        <f t="shared" si="32"/>
        <v>0.55813953488372092</v>
      </c>
      <c r="N69" s="35">
        <v>3</v>
      </c>
      <c r="O69" s="66">
        <f t="shared" si="33"/>
        <v>0.125</v>
      </c>
      <c r="P69" s="34">
        <v>0</v>
      </c>
      <c r="Q69" s="66">
        <f t="shared" si="34"/>
        <v>0</v>
      </c>
      <c r="R69" s="34">
        <v>0</v>
      </c>
      <c r="S69" s="67">
        <f t="shared" si="35"/>
        <v>0</v>
      </c>
      <c r="T69" s="32">
        <v>2</v>
      </c>
      <c r="U69" s="66">
        <f t="shared" si="36"/>
        <v>8.3333333333333329E-2</v>
      </c>
      <c r="V69" s="68">
        <f t="shared" si="37"/>
        <v>0.91666666666666663</v>
      </c>
    </row>
    <row r="70" spans="1:22" ht="46.5" thickTop="1" thickBot="1" x14ac:dyDescent="0.3">
      <c r="A70" s="74" t="s">
        <v>50</v>
      </c>
      <c r="B70" t="s">
        <v>30</v>
      </c>
      <c r="C70" s="44" t="s">
        <v>31</v>
      </c>
      <c r="D70" s="45">
        <v>14</v>
      </c>
      <c r="E70" s="46">
        <v>14</v>
      </c>
      <c r="F70" s="47">
        <f>D70-E70</f>
        <v>0</v>
      </c>
      <c r="G70" s="64">
        <f t="shared" si="31"/>
        <v>1</v>
      </c>
      <c r="H70" s="45">
        <f>E70*4*2</f>
        <v>112</v>
      </c>
      <c r="I70" s="11">
        <f t="shared" si="30"/>
        <v>79</v>
      </c>
      <c r="J70" s="73">
        <v>46</v>
      </c>
      <c r="K70" s="75">
        <v>33</v>
      </c>
      <c r="L70" s="76"/>
      <c r="M70" s="64">
        <f t="shared" si="32"/>
        <v>0.58227848101265822</v>
      </c>
      <c r="N70" s="35">
        <v>0</v>
      </c>
      <c r="O70" s="66">
        <f t="shared" si="33"/>
        <v>0</v>
      </c>
      <c r="P70" s="34">
        <v>0</v>
      </c>
      <c r="Q70" s="66">
        <f t="shared" si="34"/>
        <v>0</v>
      </c>
      <c r="R70" s="49">
        <v>0</v>
      </c>
      <c r="S70" s="67">
        <f t="shared" si="35"/>
        <v>0</v>
      </c>
      <c r="T70" s="51">
        <v>1</v>
      </c>
      <c r="U70" s="66">
        <f t="shared" si="36"/>
        <v>2.1739130434782608E-2</v>
      </c>
      <c r="V70" s="68">
        <f t="shared" si="37"/>
        <v>0.97826086956521741</v>
      </c>
    </row>
    <row r="71" spans="1:22" ht="60.75" thickBot="1" x14ac:dyDescent="0.3">
      <c r="A71" s="100" t="s">
        <v>51</v>
      </c>
      <c r="B71" t="s">
        <v>22</v>
      </c>
      <c r="C71" s="8" t="s">
        <v>23</v>
      </c>
      <c r="D71" s="9">
        <v>21</v>
      </c>
      <c r="E71" s="10">
        <v>21</v>
      </c>
      <c r="F71" s="11">
        <f>D71-E71</f>
        <v>0</v>
      </c>
      <c r="G71" s="64">
        <f t="shared" si="31"/>
        <v>1</v>
      </c>
      <c r="H71" s="9">
        <f>E71*4*3</f>
        <v>252</v>
      </c>
      <c r="I71" s="11">
        <f>J71+K71</f>
        <v>166</v>
      </c>
      <c r="J71" s="70">
        <v>141</v>
      </c>
      <c r="K71" s="75">
        <v>25</v>
      </c>
      <c r="L71" s="76"/>
      <c r="M71" s="64">
        <f t="shared" si="32"/>
        <v>0.8493975903614458</v>
      </c>
      <c r="N71" s="12">
        <v>94</v>
      </c>
      <c r="O71" s="66">
        <f t="shared" si="33"/>
        <v>0.66666666666666663</v>
      </c>
      <c r="P71" s="11">
        <v>24</v>
      </c>
      <c r="Q71" s="66">
        <f t="shared" si="34"/>
        <v>0.1702127659574468</v>
      </c>
      <c r="R71" s="11">
        <v>14</v>
      </c>
      <c r="S71" s="67">
        <f t="shared" si="35"/>
        <v>9.9290780141843976E-2</v>
      </c>
      <c r="T71" s="9">
        <v>24</v>
      </c>
      <c r="U71" s="66">
        <f t="shared" si="36"/>
        <v>0.1702127659574468</v>
      </c>
      <c r="V71" s="68">
        <f t="shared" si="37"/>
        <v>0.82978723404255317</v>
      </c>
    </row>
    <row r="72" spans="1:22" ht="45.75" thickBot="1" x14ac:dyDescent="0.3">
      <c r="A72" s="100" t="s">
        <v>51</v>
      </c>
      <c r="B72" t="s">
        <v>22</v>
      </c>
      <c r="C72" s="13" t="s">
        <v>24</v>
      </c>
      <c r="D72" s="14">
        <v>21</v>
      </c>
      <c r="E72" s="15">
        <v>21</v>
      </c>
      <c r="F72" s="11">
        <f t="shared" ref="F72:F74" si="39">D72-E72</f>
        <v>0</v>
      </c>
      <c r="G72" s="64">
        <f t="shared" si="31"/>
        <v>1</v>
      </c>
      <c r="H72" s="14">
        <f>E72*4*2</f>
        <v>168</v>
      </c>
      <c r="I72" s="11">
        <f>J72+K72</f>
        <v>156</v>
      </c>
      <c r="J72" s="70">
        <v>120</v>
      </c>
      <c r="K72" s="75">
        <v>36</v>
      </c>
      <c r="L72" s="76"/>
      <c r="M72" s="64">
        <f t="shared" si="32"/>
        <v>0.76923076923076927</v>
      </c>
      <c r="N72" s="17">
        <v>113</v>
      </c>
      <c r="O72" s="66">
        <f t="shared" si="33"/>
        <v>0.94166666666666665</v>
      </c>
      <c r="P72" s="16">
        <v>29</v>
      </c>
      <c r="Q72" s="66">
        <f t="shared" si="34"/>
        <v>0.24166666666666667</v>
      </c>
      <c r="R72" s="16">
        <v>18</v>
      </c>
      <c r="S72" s="67">
        <f t="shared" si="35"/>
        <v>0.15</v>
      </c>
      <c r="T72" s="14">
        <v>22</v>
      </c>
      <c r="U72" s="66">
        <f t="shared" si="36"/>
        <v>0.18333333333333332</v>
      </c>
      <c r="V72" s="68">
        <f t="shared" si="37"/>
        <v>0.81666666666666665</v>
      </c>
    </row>
    <row r="73" spans="1:22" ht="60.75" thickBot="1" x14ac:dyDescent="0.3">
      <c r="A73" s="100" t="s">
        <v>51</v>
      </c>
      <c r="B73" t="s">
        <v>22</v>
      </c>
      <c r="C73" s="8" t="s">
        <v>25</v>
      </c>
      <c r="D73" s="9">
        <v>21</v>
      </c>
      <c r="E73" s="10">
        <v>21</v>
      </c>
      <c r="F73" s="11">
        <f t="shared" si="39"/>
        <v>0</v>
      </c>
      <c r="G73" s="64">
        <f t="shared" si="31"/>
        <v>1</v>
      </c>
      <c r="H73" s="9">
        <f>E73*4*2</f>
        <v>168</v>
      </c>
      <c r="I73" s="11">
        <f>J73+K73</f>
        <v>117</v>
      </c>
      <c r="J73" s="70">
        <v>82</v>
      </c>
      <c r="K73" s="75">
        <v>35</v>
      </c>
      <c r="L73" s="76"/>
      <c r="M73" s="64">
        <f t="shared" si="32"/>
        <v>0.70085470085470081</v>
      </c>
      <c r="N73" s="12">
        <v>104</v>
      </c>
      <c r="O73" s="66">
        <f t="shared" si="33"/>
        <v>1.2682926829268293</v>
      </c>
      <c r="P73" s="11">
        <v>4</v>
      </c>
      <c r="Q73" s="66">
        <f t="shared" si="34"/>
        <v>4.878048780487805E-2</v>
      </c>
      <c r="R73" s="11">
        <v>12</v>
      </c>
      <c r="S73" s="67">
        <f t="shared" si="35"/>
        <v>0.14634146341463414</v>
      </c>
      <c r="T73" s="9">
        <v>17</v>
      </c>
      <c r="U73" s="66">
        <f t="shared" si="36"/>
        <v>0.2073170731707317</v>
      </c>
      <c r="V73" s="68">
        <f t="shared" si="37"/>
        <v>0.79268292682926833</v>
      </c>
    </row>
    <row r="74" spans="1:22" ht="60.75" thickBot="1" x14ac:dyDescent="0.3">
      <c r="A74" s="100" t="s">
        <v>51</v>
      </c>
      <c r="B74" t="s">
        <v>22</v>
      </c>
      <c r="C74" s="8" t="s">
        <v>26</v>
      </c>
      <c r="D74" s="9">
        <v>21</v>
      </c>
      <c r="E74" s="10">
        <v>19</v>
      </c>
      <c r="F74" s="11">
        <f t="shared" si="39"/>
        <v>2</v>
      </c>
      <c r="G74" s="64">
        <f t="shared" si="31"/>
        <v>0.90476190476190477</v>
      </c>
      <c r="H74" s="9">
        <f>E74*4*2</f>
        <v>152</v>
      </c>
      <c r="I74" s="11">
        <f t="shared" ref="I74:I79" si="40">J74+K74</f>
        <v>120</v>
      </c>
      <c r="J74" s="70">
        <v>78</v>
      </c>
      <c r="K74" s="75">
        <v>42</v>
      </c>
      <c r="L74" s="76"/>
      <c r="M74" s="64">
        <f t="shared" si="32"/>
        <v>0.65</v>
      </c>
      <c r="N74" s="12">
        <v>84</v>
      </c>
      <c r="O74" s="66">
        <f t="shared" si="33"/>
        <v>1.0769230769230769</v>
      </c>
      <c r="P74" s="11">
        <v>30</v>
      </c>
      <c r="Q74" s="66">
        <f t="shared" si="34"/>
        <v>0.38461538461538464</v>
      </c>
      <c r="R74" s="11">
        <v>2</v>
      </c>
      <c r="S74" s="67">
        <f t="shared" si="35"/>
        <v>2.564102564102564E-2</v>
      </c>
      <c r="T74" s="9">
        <v>8</v>
      </c>
      <c r="U74" s="66">
        <f t="shared" si="36"/>
        <v>0.10256410256410256</v>
      </c>
      <c r="V74" s="68">
        <f t="shared" si="37"/>
        <v>0.89743589743589747</v>
      </c>
    </row>
    <row r="75" spans="1:22" ht="45.75" thickBot="1" x14ac:dyDescent="0.3">
      <c r="A75" s="100" t="s">
        <v>51</v>
      </c>
      <c r="B75" t="s">
        <v>35</v>
      </c>
      <c r="C75" s="8" t="s">
        <v>36</v>
      </c>
      <c r="D75" s="9">
        <v>21</v>
      </c>
      <c r="E75" s="10">
        <v>18</v>
      </c>
      <c r="F75" s="11">
        <f>D75-E75</f>
        <v>3</v>
      </c>
      <c r="G75" s="64">
        <f t="shared" si="31"/>
        <v>0.8571428571428571</v>
      </c>
      <c r="H75" s="9">
        <f>E75*3*2</f>
        <v>108</v>
      </c>
      <c r="I75" s="11">
        <f t="shared" si="40"/>
        <v>171</v>
      </c>
      <c r="J75" s="70">
        <v>116</v>
      </c>
      <c r="K75" s="75">
        <v>55</v>
      </c>
      <c r="L75" s="76"/>
      <c r="M75" s="64">
        <f t="shared" si="32"/>
        <v>0.67836257309941517</v>
      </c>
      <c r="N75" s="12">
        <v>137</v>
      </c>
      <c r="O75" s="66">
        <f t="shared" si="33"/>
        <v>1.1810344827586208</v>
      </c>
      <c r="P75" s="11">
        <v>106</v>
      </c>
      <c r="Q75" s="66">
        <f t="shared" si="34"/>
        <v>0.91379310344827591</v>
      </c>
      <c r="R75" s="11">
        <v>81</v>
      </c>
      <c r="S75" s="67">
        <f t="shared" si="35"/>
        <v>0.69827586206896552</v>
      </c>
      <c r="T75" s="9">
        <v>26</v>
      </c>
      <c r="U75" s="66">
        <f t="shared" si="36"/>
        <v>0.22413793103448276</v>
      </c>
      <c r="V75" s="68">
        <f t="shared" si="37"/>
        <v>0.77586206896551724</v>
      </c>
    </row>
    <row r="76" spans="1:22" ht="16.5" thickTop="1" thickBot="1" x14ac:dyDescent="0.3">
      <c r="A76" s="100" t="s">
        <v>51</v>
      </c>
      <c r="B76" t="s">
        <v>27</v>
      </c>
      <c r="C76" s="13" t="s">
        <v>28</v>
      </c>
      <c r="D76" s="18">
        <v>15</v>
      </c>
      <c r="E76" s="19">
        <v>15</v>
      </c>
      <c r="F76" s="20">
        <f>D76-E76</f>
        <v>0</v>
      </c>
      <c r="G76" s="64">
        <f t="shared" si="31"/>
        <v>1</v>
      </c>
      <c r="H76" s="18">
        <f>E76*8*2</f>
        <v>240</v>
      </c>
      <c r="I76" s="11">
        <f t="shared" si="40"/>
        <v>93</v>
      </c>
      <c r="J76" s="71">
        <v>57</v>
      </c>
      <c r="K76" s="75">
        <v>36</v>
      </c>
      <c r="L76" s="76"/>
      <c r="M76" s="64">
        <f t="shared" si="32"/>
        <v>0.61290322580645162</v>
      </c>
      <c r="N76" s="21">
        <v>2</v>
      </c>
      <c r="O76" s="66">
        <f t="shared" si="33"/>
        <v>3.5087719298245612E-2</v>
      </c>
      <c r="P76" s="20">
        <v>0</v>
      </c>
      <c r="Q76" s="66">
        <f t="shared" si="34"/>
        <v>0</v>
      </c>
      <c r="R76" s="20">
        <v>5</v>
      </c>
      <c r="S76" s="67">
        <f t="shared" si="35"/>
        <v>8.771929824561403E-2</v>
      </c>
      <c r="T76" s="18">
        <v>7</v>
      </c>
      <c r="U76" s="66">
        <f t="shared" si="36"/>
        <v>0.12280701754385964</v>
      </c>
      <c r="V76" s="68">
        <f t="shared" si="37"/>
        <v>0.87719298245614041</v>
      </c>
    </row>
    <row r="77" spans="1:22" ht="31.5" thickTop="1" thickBot="1" x14ac:dyDescent="0.3">
      <c r="A77" s="100" t="s">
        <v>51</v>
      </c>
      <c r="B77" t="s">
        <v>27</v>
      </c>
      <c r="C77" s="22" t="s">
        <v>29</v>
      </c>
      <c r="D77" s="14">
        <v>21</v>
      </c>
      <c r="E77" s="15">
        <v>18</v>
      </c>
      <c r="F77" s="20">
        <f t="shared" ref="F77:F78" si="41">D77-E77</f>
        <v>3</v>
      </c>
      <c r="G77" s="64">
        <f t="shared" si="31"/>
        <v>0.8571428571428571</v>
      </c>
      <c r="H77" s="14">
        <f>E77*4*2</f>
        <v>144</v>
      </c>
      <c r="I77" s="11">
        <f t="shared" si="40"/>
        <v>82</v>
      </c>
      <c r="J77" s="70">
        <v>51</v>
      </c>
      <c r="K77" s="77">
        <v>31</v>
      </c>
      <c r="L77" s="78"/>
      <c r="M77" s="64">
        <f t="shared" si="32"/>
        <v>0.62195121951219512</v>
      </c>
      <c r="N77" s="17">
        <v>2</v>
      </c>
      <c r="O77" s="66">
        <f t="shared" si="33"/>
        <v>3.9215686274509803E-2</v>
      </c>
      <c r="P77" s="16">
        <v>0</v>
      </c>
      <c r="Q77" s="66">
        <f t="shared" si="34"/>
        <v>0</v>
      </c>
      <c r="R77" s="16">
        <v>1</v>
      </c>
      <c r="S77" s="67">
        <f t="shared" si="35"/>
        <v>1.9607843137254902E-2</v>
      </c>
      <c r="T77" s="14">
        <v>7</v>
      </c>
      <c r="U77" s="66">
        <f t="shared" si="36"/>
        <v>0.13725490196078433</v>
      </c>
      <c r="V77" s="68">
        <f t="shared" si="37"/>
        <v>0.86274509803921573</v>
      </c>
    </row>
    <row r="78" spans="1:22" ht="16.5" thickTop="1" thickBot="1" x14ac:dyDescent="0.3">
      <c r="A78" s="100" t="s">
        <v>51</v>
      </c>
      <c r="B78" t="s">
        <v>27</v>
      </c>
      <c r="C78" s="31" t="s">
        <v>33</v>
      </c>
      <c r="D78" s="32">
        <v>21</v>
      </c>
      <c r="E78" s="33">
        <v>17</v>
      </c>
      <c r="F78" s="20">
        <f t="shared" si="41"/>
        <v>4</v>
      </c>
      <c r="G78" s="64">
        <f t="shared" si="31"/>
        <v>0.80952380952380953</v>
      </c>
      <c r="H78" s="32">
        <f>E78*4*2</f>
        <v>136</v>
      </c>
      <c r="I78" s="11">
        <f t="shared" si="40"/>
        <v>90</v>
      </c>
      <c r="J78" s="72">
        <v>53</v>
      </c>
      <c r="K78" s="75">
        <v>37</v>
      </c>
      <c r="L78" s="76"/>
      <c r="M78" s="64">
        <f t="shared" si="32"/>
        <v>0.58888888888888891</v>
      </c>
      <c r="N78" s="35">
        <v>2</v>
      </c>
      <c r="O78" s="66">
        <f t="shared" si="33"/>
        <v>3.7735849056603772E-2</v>
      </c>
      <c r="P78" s="34">
        <v>0</v>
      </c>
      <c r="Q78" s="66">
        <f t="shared" si="34"/>
        <v>0</v>
      </c>
      <c r="R78" s="34">
        <v>1</v>
      </c>
      <c r="S78" s="67">
        <f t="shared" si="35"/>
        <v>1.8867924528301886E-2</v>
      </c>
      <c r="T78" s="32">
        <v>2</v>
      </c>
      <c r="U78" s="66">
        <f t="shared" si="36"/>
        <v>3.7735849056603772E-2</v>
      </c>
      <c r="V78" s="68">
        <f t="shared" si="37"/>
        <v>0.96226415094339623</v>
      </c>
    </row>
    <row r="79" spans="1:22" ht="46.5" thickTop="1" thickBot="1" x14ac:dyDescent="0.3">
      <c r="A79" s="100" t="s">
        <v>51</v>
      </c>
      <c r="B79" t="s">
        <v>30</v>
      </c>
      <c r="C79" s="44" t="s">
        <v>31</v>
      </c>
      <c r="D79" s="45">
        <v>17</v>
      </c>
      <c r="E79" s="101">
        <v>14</v>
      </c>
      <c r="F79" s="47">
        <f>D79-E79</f>
        <v>3</v>
      </c>
      <c r="G79" s="64">
        <f t="shared" si="31"/>
        <v>0.82352941176470584</v>
      </c>
      <c r="H79" s="45">
        <f>E79*4*2</f>
        <v>112</v>
      </c>
      <c r="I79" s="11">
        <f t="shared" si="40"/>
        <v>83</v>
      </c>
      <c r="J79" s="73">
        <v>39</v>
      </c>
      <c r="K79" s="75">
        <v>44</v>
      </c>
      <c r="L79" s="76"/>
      <c r="M79" s="64">
        <f t="shared" si="32"/>
        <v>0.46987951807228917</v>
      </c>
      <c r="N79" s="35">
        <v>0</v>
      </c>
      <c r="O79" s="66">
        <f t="shared" si="33"/>
        <v>0</v>
      </c>
      <c r="P79" s="34">
        <v>0</v>
      </c>
      <c r="Q79" s="66">
        <f t="shared" si="34"/>
        <v>0</v>
      </c>
      <c r="R79" s="49">
        <v>0</v>
      </c>
      <c r="S79" s="67">
        <f t="shared" si="35"/>
        <v>0</v>
      </c>
      <c r="T79" s="51">
        <v>1</v>
      </c>
      <c r="U79" s="66">
        <f t="shared" si="36"/>
        <v>2.564102564102564E-2</v>
      </c>
      <c r="V79" s="68">
        <f t="shared" si="37"/>
        <v>0.97435897435897434</v>
      </c>
    </row>
  </sheetData>
  <mergeCells count="79">
    <mergeCell ref="K76:L76"/>
    <mergeCell ref="K77:L77"/>
    <mergeCell ref="K78:L78"/>
    <mergeCell ref="K79:L79"/>
    <mergeCell ref="K71:L71"/>
    <mergeCell ref="K72:L72"/>
    <mergeCell ref="K73:L73"/>
    <mergeCell ref="K74:L74"/>
    <mergeCell ref="K75:L75"/>
    <mergeCell ref="K58:L58"/>
    <mergeCell ref="K59:L59"/>
    <mergeCell ref="K60:L60"/>
    <mergeCell ref="K61:L61"/>
    <mergeCell ref="K53:L53"/>
    <mergeCell ref="K54:L54"/>
    <mergeCell ref="K55:L55"/>
    <mergeCell ref="K56:L56"/>
    <mergeCell ref="K57:L57"/>
    <mergeCell ref="K49:L49"/>
    <mergeCell ref="K50:L50"/>
    <mergeCell ref="K51:L51"/>
    <mergeCell ref="K52:L52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12:L12"/>
    <mergeCell ref="K1:L1"/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24:L24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31:L31"/>
    <mergeCell ref="K32:L32"/>
    <mergeCell ref="K33:L33"/>
    <mergeCell ref="K34:L34"/>
    <mergeCell ref="K25:L25"/>
    <mergeCell ref="K26:L26"/>
    <mergeCell ref="K27:L27"/>
    <mergeCell ref="K28:L28"/>
    <mergeCell ref="K29:L29"/>
    <mergeCell ref="K30:L30"/>
    <mergeCell ref="K67:L67"/>
    <mergeCell ref="K68:L68"/>
    <mergeCell ref="K69:L69"/>
    <mergeCell ref="K70:L70"/>
    <mergeCell ref="K62:L62"/>
    <mergeCell ref="K63:L63"/>
    <mergeCell ref="K64:L64"/>
    <mergeCell ref="K65:L65"/>
    <mergeCell ref="K66:L66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2257D-74CC-4388-A86D-F3D49907C2F2}">
  <dimension ref="E1:L31"/>
  <sheetViews>
    <sheetView topLeftCell="B1" workbookViewId="0">
      <selection activeCell="F11" sqref="F11"/>
    </sheetView>
  </sheetViews>
  <sheetFormatPr baseColWidth="10" defaultRowHeight="15" x14ac:dyDescent="0.25"/>
  <cols>
    <col min="5" max="5" width="20.140625" bestFit="1" customWidth="1"/>
    <col min="6" max="7" width="17.5703125" bestFit="1" customWidth="1"/>
    <col min="8" max="8" width="24" bestFit="1" customWidth="1"/>
    <col min="9" max="9" width="29.140625" bestFit="1" customWidth="1"/>
    <col min="10" max="10" width="22.85546875" bestFit="1" customWidth="1"/>
    <col min="11" max="11" width="19" bestFit="1" customWidth="1"/>
    <col min="12" max="12" width="22.85546875" bestFit="1" customWidth="1"/>
  </cols>
  <sheetData>
    <row r="1" spans="5:12" x14ac:dyDescent="0.25">
      <c r="E1" s="58" t="s">
        <v>2</v>
      </c>
      <c r="F1" t="s">
        <v>23</v>
      </c>
    </row>
    <row r="3" spans="5:12" x14ac:dyDescent="0.25">
      <c r="E3" s="58" t="s">
        <v>38</v>
      </c>
      <c r="F3" t="s">
        <v>44</v>
      </c>
      <c r="G3" t="s">
        <v>43</v>
      </c>
      <c r="H3" t="s">
        <v>40</v>
      </c>
      <c r="I3" t="s">
        <v>45</v>
      </c>
      <c r="J3" t="s">
        <v>46</v>
      </c>
      <c r="K3" t="s">
        <v>42</v>
      </c>
      <c r="L3" t="s">
        <v>41</v>
      </c>
    </row>
    <row r="4" spans="5:12" x14ac:dyDescent="0.25">
      <c r="E4" s="59" t="s">
        <v>21</v>
      </c>
      <c r="F4">
        <v>0.9</v>
      </c>
      <c r="G4">
        <v>0.1</v>
      </c>
      <c r="H4" s="60">
        <v>0.9</v>
      </c>
      <c r="I4" s="60">
        <v>0.12857142857142856</v>
      </c>
      <c r="J4">
        <v>0.18571428571428572</v>
      </c>
      <c r="K4">
        <v>0.68571428571428572</v>
      </c>
      <c r="L4">
        <v>0.86419753086419748</v>
      </c>
    </row>
    <row r="5" spans="5:12" x14ac:dyDescent="0.25">
      <c r="E5" s="59" t="s">
        <v>32</v>
      </c>
      <c r="F5">
        <v>0.84892086330935257</v>
      </c>
      <c r="G5">
        <v>0.15107913669064749</v>
      </c>
      <c r="H5" s="60">
        <v>0.95</v>
      </c>
      <c r="I5" s="60">
        <v>0.1223021582733813</v>
      </c>
      <c r="J5">
        <v>7.1942446043165471E-3</v>
      </c>
      <c r="K5">
        <v>0.69064748201438853</v>
      </c>
      <c r="L5">
        <v>0.97202797202797198</v>
      </c>
    </row>
    <row r="6" spans="5:12" x14ac:dyDescent="0.25">
      <c r="E6" s="59" t="s">
        <v>34</v>
      </c>
      <c r="F6">
        <v>0.76219512195121952</v>
      </c>
      <c r="G6">
        <v>0.23780487804878048</v>
      </c>
      <c r="H6" s="60">
        <v>0.9</v>
      </c>
      <c r="I6" s="60">
        <v>0.14634146341463414</v>
      </c>
      <c r="J6">
        <v>0.17073170731707318</v>
      </c>
      <c r="K6">
        <v>0.54878048780487809</v>
      </c>
      <c r="L6">
        <v>0.98795180722891562</v>
      </c>
    </row>
    <row r="7" spans="5:12" x14ac:dyDescent="0.25">
      <c r="E7" s="59" t="s">
        <v>37</v>
      </c>
      <c r="F7">
        <v>0.82517482517482521</v>
      </c>
      <c r="G7">
        <v>0.17482517482517482</v>
      </c>
      <c r="H7" s="60">
        <v>1</v>
      </c>
      <c r="I7" s="60">
        <v>9.7902097902097904E-2</v>
      </c>
      <c r="J7">
        <v>0.11188811188811189</v>
      </c>
      <c r="K7">
        <v>0.58741258741258739</v>
      </c>
      <c r="L7">
        <v>0.95973154362416102</v>
      </c>
    </row>
    <row r="8" spans="5:12" x14ac:dyDescent="0.25">
      <c r="E8" s="59" t="s">
        <v>39</v>
      </c>
      <c r="F8">
        <v>3.336290810435397</v>
      </c>
      <c r="G8">
        <v>0.66370918956460279</v>
      </c>
      <c r="H8">
        <v>3.75</v>
      </c>
      <c r="I8">
        <v>0.49511714816154195</v>
      </c>
      <c r="J8">
        <v>0.47552834952378731</v>
      </c>
      <c r="K8">
        <v>2.5125548429461397</v>
      </c>
      <c r="L8">
        <v>3.7839088537452459</v>
      </c>
    </row>
    <row r="11" spans="5:12" x14ac:dyDescent="0.25">
      <c r="F11" s="58" t="s">
        <v>38</v>
      </c>
      <c r="G11" t="s">
        <v>42</v>
      </c>
      <c r="H11" t="s">
        <v>46</v>
      </c>
      <c r="I11" t="s">
        <v>45</v>
      </c>
    </row>
    <row r="12" spans="5:12" x14ac:dyDescent="0.25">
      <c r="F12" s="59" t="s">
        <v>21</v>
      </c>
      <c r="G12">
        <v>0.68571428571428572</v>
      </c>
      <c r="H12">
        <v>0.18571428571428572</v>
      </c>
      <c r="I12">
        <v>0.12857142857142856</v>
      </c>
    </row>
    <row r="13" spans="5:12" x14ac:dyDescent="0.25">
      <c r="F13" s="59" t="s">
        <v>32</v>
      </c>
      <c r="G13">
        <v>0.69064748201438853</v>
      </c>
      <c r="H13">
        <v>7.1942446043165471E-3</v>
      </c>
      <c r="I13">
        <v>0.1223021582733813</v>
      </c>
    </row>
    <row r="14" spans="5:12" x14ac:dyDescent="0.25">
      <c r="F14" s="59" t="s">
        <v>34</v>
      </c>
      <c r="G14">
        <v>0.54878048780487809</v>
      </c>
      <c r="H14">
        <v>0.17073170731707318</v>
      </c>
      <c r="I14">
        <v>0.14634146341463414</v>
      </c>
    </row>
    <row r="15" spans="5:12" x14ac:dyDescent="0.25">
      <c r="F15" s="59" t="s">
        <v>37</v>
      </c>
      <c r="G15">
        <v>0.58741258741258739</v>
      </c>
      <c r="H15">
        <v>0.11188811188811189</v>
      </c>
      <c r="I15">
        <v>9.7902097902097904E-2</v>
      </c>
    </row>
    <row r="16" spans="5:12" x14ac:dyDescent="0.25">
      <c r="F16" s="59" t="s">
        <v>39</v>
      </c>
      <c r="G16">
        <v>2.5125548429461397</v>
      </c>
      <c r="H16">
        <v>0.47552834952378731</v>
      </c>
      <c r="I16">
        <v>0.49511714816154195</v>
      </c>
    </row>
    <row r="18" spans="6:10" x14ac:dyDescent="0.25">
      <c r="F18" s="58" t="s">
        <v>38</v>
      </c>
      <c r="G18" t="s">
        <v>40</v>
      </c>
      <c r="I18" s="58" t="s">
        <v>38</v>
      </c>
      <c r="J18" t="s">
        <v>41</v>
      </c>
    </row>
    <row r="19" spans="6:10" x14ac:dyDescent="0.25">
      <c r="F19" s="59" t="s">
        <v>21</v>
      </c>
      <c r="G19">
        <v>0.9</v>
      </c>
      <c r="I19" s="59" t="s">
        <v>21</v>
      </c>
      <c r="J19">
        <v>0.86419753086419748</v>
      </c>
    </row>
    <row r="20" spans="6:10" x14ac:dyDescent="0.25">
      <c r="F20" s="59" t="s">
        <v>32</v>
      </c>
      <c r="G20">
        <v>0.95</v>
      </c>
      <c r="I20" s="59" t="s">
        <v>32</v>
      </c>
      <c r="J20">
        <v>0.97202797202797198</v>
      </c>
    </row>
    <row r="21" spans="6:10" x14ac:dyDescent="0.25">
      <c r="F21" s="59" t="s">
        <v>34</v>
      </c>
      <c r="G21">
        <v>0.9</v>
      </c>
      <c r="I21" s="59" t="s">
        <v>34</v>
      </c>
      <c r="J21">
        <v>0.98795180722891562</v>
      </c>
    </row>
    <row r="22" spans="6:10" x14ac:dyDescent="0.25">
      <c r="F22" s="59" t="s">
        <v>37</v>
      </c>
      <c r="G22">
        <v>1</v>
      </c>
      <c r="I22" s="59" t="s">
        <v>37</v>
      </c>
      <c r="J22">
        <v>0.95973154362416102</v>
      </c>
    </row>
    <row r="23" spans="6:10" x14ac:dyDescent="0.25">
      <c r="F23" s="59" t="s">
        <v>39</v>
      </c>
      <c r="G23">
        <v>3.75</v>
      </c>
      <c r="I23" s="59" t="s">
        <v>39</v>
      </c>
      <c r="J23">
        <v>3.7839088537452459</v>
      </c>
    </row>
    <row r="26" spans="6:10" x14ac:dyDescent="0.25">
      <c r="G26" s="58" t="s">
        <v>38</v>
      </c>
      <c r="H26" t="s">
        <v>43</v>
      </c>
      <c r="I26" t="s">
        <v>44</v>
      </c>
    </row>
    <row r="27" spans="6:10" x14ac:dyDescent="0.25">
      <c r="G27" s="59" t="s">
        <v>21</v>
      </c>
      <c r="H27">
        <v>0.1</v>
      </c>
      <c r="I27">
        <v>0.9</v>
      </c>
    </row>
    <row r="28" spans="6:10" x14ac:dyDescent="0.25">
      <c r="G28" s="59" t="s">
        <v>32</v>
      </c>
      <c r="H28">
        <v>0.15107913669064749</v>
      </c>
      <c r="I28">
        <v>0.84892086330935257</v>
      </c>
    </row>
    <row r="29" spans="6:10" x14ac:dyDescent="0.25">
      <c r="G29" s="59" t="s">
        <v>34</v>
      </c>
      <c r="H29">
        <v>0.23780487804878048</v>
      </c>
      <c r="I29">
        <v>0.76219512195121952</v>
      </c>
    </row>
    <row r="30" spans="6:10" x14ac:dyDescent="0.25">
      <c r="G30" s="59" t="s">
        <v>37</v>
      </c>
      <c r="H30">
        <v>0.17482517482517482</v>
      </c>
      <c r="I30">
        <v>0.82517482517482521</v>
      </c>
    </row>
    <row r="31" spans="6:10" x14ac:dyDescent="0.25">
      <c r="G31" s="59" t="s">
        <v>39</v>
      </c>
      <c r="H31">
        <v>0.66370918956460279</v>
      </c>
      <c r="I31">
        <v>3.336290810435397</v>
      </c>
    </row>
  </sheetData>
  <pageMargins left="0.7" right="0.7" top="0.75" bottom="0.75" header="0.3" footer="0.3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0FCCE-29EC-4525-8C66-46C5826FC07D}">
  <dimension ref="A1"/>
  <sheetViews>
    <sheetView zoomScale="85" zoomScaleNormal="85" workbookViewId="0">
      <selection activeCell="K31" sqref="K31"/>
    </sheetView>
  </sheetViews>
  <sheetFormatPr baseColWidth="10" defaultRowHeight="15" x14ac:dyDescent="0.25"/>
  <cols>
    <col min="1" max="16384" width="11.42578125" style="65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</vt:lpstr>
      <vt:lpstr>Hoja1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Dispositivo 10AP00022455</dc:creator>
  <cp:lastModifiedBy>Dispositivo 10AP00022455</cp:lastModifiedBy>
  <dcterms:created xsi:type="dcterms:W3CDTF">2026-05-19T16:06:23Z</dcterms:created>
  <dcterms:modified xsi:type="dcterms:W3CDTF">2026-10-05T14:40:06Z</dcterms:modified>
</cp:coreProperties>
</file>